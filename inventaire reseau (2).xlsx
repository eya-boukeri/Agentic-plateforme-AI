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gif" ContentType="image/gif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120" yWindow="150" windowWidth="21255" windowHeight="12015"/>
  </bookViews>
  <sheets>
    <sheet name="DISTRIBUTION PAR TYPE" sheetId="2" r:id="rId1"/>
    <sheet name="ETAT de transmission" sheetId="3" r:id="rId2"/>
    <sheet name="ETat" sheetId="1" r:id="rId3"/>
  </sheets>
  <calcPr calcId="124519" calcMode="manual"/>
  <pivotCaches>
    <pivotCache cacheId="0" r:id="rId4"/>
  </pivotCaches>
</workbook>
</file>

<file path=xl/sharedStrings.xml><?xml version="1.0" encoding="utf-8"?>
<sst xmlns="http://schemas.openxmlformats.org/spreadsheetml/2006/main" count="946" uniqueCount="350">
  <si>
    <t>Etat du réseau de suivi et d'annonce des crues en temps réel de la DGRE</t>
  </si>
  <si>
    <t xml:space="preserve">* </t>
  </si>
  <si>
    <t>Date :</t>
  </si>
  <si>
    <t>Gouvernorat</t>
  </si>
  <si>
    <t>Code Station</t>
  </si>
  <si>
    <t>Nom de la station</t>
  </si>
  <si>
    <t>N° d'appel</t>
  </si>
  <si>
    <t>Type</t>
  </si>
  <si>
    <t>Type capteur</t>
  </si>
  <si>
    <t>Nombre</t>
  </si>
  <si>
    <t>Etat</t>
  </si>
  <si>
    <t>Mode de transmission</t>
  </si>
  <si>
    <t xml:space="preserve">Observation </t>
  </si>
  <si>
    <t>x</t>
  </si>
  <si>
    <t>y</t>
  </si>
  <si>
    <t>Date débit</t>
  </si>
  <si>
    <t>intervention</t>
  </si>
  <si>
    <t>date de l'intervention</t>
  </si>
  <si>
    <t>Kasserine</t>
  </si>
  <si>
    <t>AIN SABOUN</t>
  </si>
  <si>
    <t>Hydro-pluviométrique</t>
  </si>
  <si>
    <t xml:space="preserve">Sonde </t>
  </si>
  <si>
    <t>Ne transmet pas</t>
  </si>
  <si>
    <t xml:space="preserve">GSM Data </t>
  </si>
  <si>
    <t>Sonde+Panneau solaire</t>
  </si>
  <si>
    <t>510250.02</t>
  </si>
  <si>
    <t>3935088.59</t>
  </si>
  <si>
    <t>Jendouba</t>
  </si>
  <si>
    <t>AinDrahem</t>
  </si>
  <si>
    <t xml:space="preserve">Pluviométrique </t>
  </si>
  <si>
    <t>Pluviographe</t>
  </si>
  <si>
    <t>GPRS</t>
  </si>
  <si>
    <t>Batterie</t>
  </si>
  <si>
    <t>471737.03</t>
  </si>
  <si>
    <t>4070167.74</t>
  </si>
  <si>
    <t>ff</t>
  </si>
  <si>
    <t>Beja</t>
  </si>
  <si>
    <t xml:space="preserve">BEJA </t>
  </si>
  <si>
    <t xml:space="preserve">Radar </t>
  </si>
  <si>
    <t xml:space="preserve">Transmet </t>
  </si>
  <si>
    <t>RAS</t>
  </si>
  <si>
    <t>519320.31</t>
  </si>
  <si>
    <t>4065602.48</t>
  </si>
  <si>
    <t>Bizerte</t>
  </si>
  <si>
    <t>Bg joumine</t>
  </si>
  <si>
    <t>554037.16</t>
  </si>
  <si>
    <t>4094090.15</t>
  </si>
  <si>
    <t>Bg Sidi Salem</t>
  </si>
  <si>
    <t>Radar</t>
  </si>
  <si>
    <t>535370.41</t>
  </si>
  <si>
    <t>4049598.04</t>
  </si>
  <si>
    <t>Bge sejnane</t>
  </si>
  <si>
    <t>Pas de couverture réseau en GSM data</t>
  </si>
  <si>
    <t>542470.3</t>
  </si>
  <si>
    <t>4115667.97</t>
  </si>
  <si>
    <t>Manouba</t>
  </si>
  <si>
    <t>Borj Toumi</t>
  </si>
  <si>
    <t xml:space="preserve">Hydrométrique </t>
  </si>
  <si>
    <t xml:space="preserve">Radar + SVR </t>
  </si>
  <si>
    <t>BOU SALEM</t>
  </si>
  <si>
    <t>496980.46</t>
  </si>
  <si>
    <t>4050557.95</t>
  </si>
  <si>
    <t>Gabes</t>
  </si>
  <si>
    <t>Cassis de Toujane</t>
  </si>
  <si>
    <t>593796.81</t>
  </si>
  <si>
    <t>3724196.95</t>
  </si>
  <si>
    <t>CHEMTOU</t>
  </si>
  <si>
    <t>Modem</t>
  </si>
  <si>
    <t>461991.10</t>
  </si>
  <si>
    <t>4038083.11</t>
  </si>
  <si>
    <t>El Hamma télépherique</t>
  </si>
  <si>
    <t>Modem+Batterie</t>
  </si>
  <si>
    <t>570641.05</t>
  </si>
  <si>
    <t>3749365.14</t>
  </si>
  <si>
    <t>Nabeul</t>
  </si>
  <si>
    <t>EL HAOUARIA</t>
  </si>
  <si>
    <t xml:space="preserve">DUOSENS </t>
  </si>
  <si>
    <t>678914.80</t>
  </si>
  <si>
    <t>4102145.7</t>
  </si>
  <si>
    <t>El Herri</t>
  </si>
  <si>
    <t>559412.43</t>
  </si>
  <si>
    <t>4064233.79</t>
  </si>
  <si>
    <t>Kairouan</t>
  </si>
  <si>
    <t>EL OUSLATIA</t>
  </si>
  <si>
    <t>562577.55</t>
  </si>
  <si>
    <t>3988150.24</t>
  </si>
  <si>
    <t>Sousse</t>
  </si>
  <si>
    <t>ENFIDHA</t>
  </si>
  <si>
    <t>623882.89</t>
  </si>
  <si>
    <t>3999781.22</t>
  </si>
  <si>
    <t>Fernena P</t>
  </si>
  <si>
    <t>472853.59</t>
  </si>
  <si>
    <t>4056757.23</t>
  </si>
  <si>
    <t>602534.52</t>
  </si>
  <si>
    <t>3748040.19</t>
  </si>
  <si>
    <t>Gafsa</t>
  </si>
  <si>
    <t xml:space="preserve">481739.38 </t>
  </si>
  <si>
    <t>3810008.64</t>
  </si>
  <si>
    <t>Ghardimaou</t>
  </si>
  <si>
    <t>449355.47</t>
  </si>
  <si>
    <t>4034112.42</t>
  </si>
  <si>
    <t>Ghardimaou PVF</t>
  </si>
  <si>
    <t xml:space="preserve">447876.14 </t>
  </si>
  <si>
    <t>4031485.83</t>
  </si>
  <si>
    <t>GP17  MLG</t>
  </si>
  <si>
    <t>477464.22</t>
  </si>
  <si>
    <t xml:space="preserve">4028848.19 </t>
  </si>
  <si>
    <t>Ariana</t>
  </si>
  <si>
    <t>HenchirTobias</t>
  </si>
  <si>
    <t>595643.89</t>
  </si>
  <si>
    <t>4097538.91</t>
  </si>
  <si>
    <t>Jbel Boubrima</t>
  </si>
  <si>
    <t>509545.94</t>
  </si>
  <si>
    <t>4084536.96</t>
  </si>
  <si>
    <t>Jebal Antra</t>
  </si>
  <si>
    <t>Sonde</t>
  </si>
  <si>
    <t>541101.67</t>
  </si>
  <si>
    <t>4089759.51</t>
  </si>
  <si>
    <t>JEDEIDA</t>
  </si>
  <si>
    <t>582686.64</t>
  </si>
  <si>
    <t>4078288.94</t>
  </si>
  <si>
    <t>479257.91</t>
  </si>
  <si>
    <t>4039545.66</t>
  </si>
  <si>
    <t>Jendouba P</t>
  </si>
  <si>
    <t>481222.10</t>
  </si>
  <si>
    <t>4039950.03</t>
  </si>
  <si>
    <t>KAIROUAN CRDA</t>
  </si>
  <si>
    <t>598455.76</t>
  </si>
  <si>
    <t>3949038.43</t>
  </si>
  <si>
    <t>Kasserine P</t>
  </si>
  <si>
    <t>483741.19</t>
  </si>
  <si>
    <t>3891644.67</t>
  </si>
  <si>
    <t>Kebili</t>
  </si>
  <si>
    <t>KEBILI</t>
  </si>
  <si>
    <t>497078.22</t>
  </si>
  <si>
    <t>3729120.59</t>
  </si>
  <si>
    <t>Kef</t>
  </si>
  <si>
    <t>Kef P</t>
  </si>
  <si>
    <t>473003.02</t>
  </si>
  <si>
    <t>4002107.07</t>
  </si>
  <si>
    <t>Khalled Aval</t>
  </si>
  <si>
    <t>535489.64</t>
  </si>
  <si>
    <t>4044793.93</t>
  </si>
  <si>
    <t>Khenguette Zazia</t>
  </si>
  <si>
    <t>510521.09</t>
  </si>
  <si>
    <t>3883087.58</t>
  </si>
  <si>
    <t>KLT Andalous</t>
  </si>
  <si>
    <t>600017.75</t>
  </si>
  <si>
    <t>4102254.49</t>
  </si>
  <si>
    <t>Ben Arous</t>
  </si>
  <si>
    <t>LA MADELAINE</t>
  </si>
  <si>
    <t>611922.35</t>
  </si>
  <si>
    <t>4065086.41</t>
  </si>
  <si>
    <t>Lahmar</t>
  </si>
  <si>
    <t>563553.84</t>
  </si>
  <si>
    <t>4055959.57</t>
  </si>
  <si>
    <t>Siliana</t>
  </si>
  <si>
    <t>M12 OUSAFA</t>
  </si>
  <si>
    <t>Vendalisée</t>
  </si>
  <si>
    <t>538796.30</t>
  </si>
  <si>
    <t>3982434.13</t>
  </si>
  <si>
    <t>Mahdia</t>
  </si>
  <si>
    <t>MAHDIA</t>
  </si>
  <si>
    <t>683876.78</t>
  </si>
  <si>
    <t>3932253.75</t>
  </si>
  <si>
    <t>Mannouba P</t>
  </si>
  <si>
    <t>597302.03</t>
  </si>
  <si>
    <t>4074708.93</t>
  </si>
  <si>
    <t>Mateur Joumine</t>
  </si>
  <si>
    <t>560481.10</t>
  </si>
  <si>
    <t>4099291.91</t>
  </si>
  <si>
    <t>Matmata</t>
  </si>
  <si>
    <t>590088.90</t>
  </si>
  <si>
    <t xml:space="preserve">3711690.99 </t>
  </si>
  <si>
    <t>Medenine</t>
  </si>
  <si>
    <t>638565.27</t>
  </si>
  <si>
    <t>3690048.61</t>
  </si>
  <si>
    <t>MEJEZ GP5</t>
  </si>
  <si>
    <t>554423.34</t>
  </si>
  <si>
    <t>4055163.76</t>
  </si>
  <si>
    <t>Mejez GP5 SVR</t>
  </si>
  <si>
    <t>Sidi Bouzid</t>
  </si>
  <si>
    <t>Meknassi</t>
  </si>
  <si>
    <t>555726.94</t>
  </si>
  <si>
    <t>3829242.78</t>
  </si>
  <si>
    <t>Melah Gabès</t>
  </si>
  <si>
    <t>592307.61</t>
  </si>
  <si>
    <t>3762653.01</t>
  </si>
  <si>
    <t>Melah Sidi Salem</t>
  </si>
  <si>
    <t>548021.79</t>
  </si>
  <si>
    <t>4106818.42</t>
  </si>
  <si>
    <t>Mellegue K13</t>
  </si>
  <si>
    <t>454598.03</t>
  </si>
  <si>
    <t>MJZ-Pont el Mouradi</t>
  </si>
  <si>
    <t>554187.86</t>
  </si>
  <si>
    <t>4056108.94</t>
  </si>
  <si>
    <t>MLG Frontière</t>
  </si>
  <si>
    <t>Mlila Hammam Bourguiba</t>
  </si>
  <si>
    <t>462512.79</t>
  </si>
  <si>
    <t>4069612.46</t>
  </si>
  <si>
    <t>Monastir</t>
  </si>
  <si>
    <t>MONASTIR</t>
  </si>
  <si>
    <t>664177.14</t>
  </si>
  <si>
    <t>3953856.21</t>
  </si>
  <si>
    <t>Mornag CTV</t>
  </si>
  <si>
    <t>NABEUL</t>
  </si>
  <si>
    <t>655785.28</t>
  </si>
  <si>
    <t>4036311.44</t>
  </si>
  <si>
    <t>Zaghouan</t>
  </si>
  <si>
    <t>Nadhour</t>
  </si>
  <si>
    <t>598462.61</t>
  </si>
  <si>
    <t xml:space="preserve">3998159.99 </t>
  </si>
  <si>
    <t>Naghadha</t>
  </si>
  <si>
    <t>544975.07</t>
  </si>
  <si>
    <t xml:space="preserve">3898378.74 </t>
  </si>
  <si>
    <t>Nefza</t>
  </si>
  <si>
    <t>Oued Al Fard</t>
  </si>
  <si>
    <t>Oued Beja</t>
  </si>
  <si>
    <t>519962.11</t>
  </si>
  <si>
    <t>4065631.93</t>
  </si>
  <si>
    <t>Oued Bou Abdallah</t>
  </si>
  <si>
    <t>542958.52</t>
  </si>
  <si>
    <t>3979436.37</t>
  </si>
  <si>
    <t>Oued Elfekka</t>
  </si>
  <si>
    <t>524572.23</t>
  </si>
  <si>
    <t>3875281.01</t>
  </si>
  <si>
    <t>Oued Leben</t>
  </si>
  <si>
    <t>554845.72</t>
  </si>
  <si>
    <t>3834710.77</t>
  </si>
  <si>
    <t>Tataouine</t>
  </si>
  <si>
    <t>Oued Om Zogar</t>
  </si>
  <si>
    <t>Oued Tataouine</t>
  </si>
  <si>
    <t>636768.01</t>
  </si>
  <si>
    <t>3647116.88</t>
  </si>
  <si>
    <t>Oued Zigzaou</t>
  </si>
  <si>
    <t>621730.06</t>
  </si>
  <si>
    <t>3717972.96</t>
  </si>
  <si>
    <t>Pont Nebhana</t>
  </si>
  <si>
    <t>Pont Romain Nebhana</t>
  </si>
  <si>
    <t>PT NOIR SBAYHIA</t>
  </si>
  <si>
    <t>608578.47</t>
  </si>
  <si>
    <t>4029622.32</t>
  </si>
  <si>
    <t>PT ROUTE RMEL</t>
  </si>
  <si>
    <t>467494.73</t>
  </si>
  <si>
    <t>3996873.14</t>
  </si>
  <si>
    <t>PT RTE SARRAT</t>
  </si>
  <si>
    <t>PT-BIZERTE</t>
  </si>
  <si>
    <t>593997.46</t>
  </si>
  <si>
    <t>4095443.72</t>
  </si>
  <si>
    <t>Raghai Plaine</t>
  </si>
  <si>
    <t>459024.73</t>
  </si>
  <si>
    <t xml:space="preserve">4037832.90 </t>
  </si>
  <si>
    <t>05//09/2016</t>
  </si>
  <si>
    <t>Tunis</t>
  </si>
  <si>
    <t>Saida Manoubia</t>
  </si>
  <si>
    <t xml:space="preserve">604656.93 </t>
  </si>
  <si>
    <t>4071397.1</t>
  </si>
  <si>
    <t>Sbeitla</t>
  </si>
  <si>
    <t>511067.02</t>
  </si>
  <si>
    <t>3898326.15</t>
  </si>
  <si>
    <t>Sejoumi SBKT</t>
  </si>
  <si>
    <t>604089.14</t>
  </si>
  <si>
    <t>4069732.47</t>
  </si>
  <si>
    <t>Sfax</t>
  </si>
  <si>
    <t>SFAX</t>
  </si>
  <si>
    <t xml:space="preserve">660950.66 </t>
  </si>
  <si>
    <t>3844480.83</t>
  </si>
  <si>
    <t>Sidi Bourouis Agricole</t>
  </si>
  <si>
    <t>506651.4</t>
  </si>
  <si>
    <t>4008184.58</t>
  </si>
  <si>
    <t>Sidi Bouzid P</t>
  </si>
  <si>
    <t xml:space="preserve">Duosens </t>
  </si>
  <si>
    <t>545189.85</t>
  </si>
  <si>
    <t>3875833.76</t>
  </si>
  <si>
    <t>Sidi Ismail</t>
  </si>
  <si>
    <t>509783.625</t>
  </si>
  <si>
    <t>4050700.25</t>
  </si>
  <si>
    <t>Sidi Medien</t>
  </si>
  <si>
    <t>Batterie+Sonde</t>
  </si>
  <si>
    <t>495570.88</t>
  </si>
  <si>
    <t>4017708.07</t>
  </si>
  <si>
    <t>Sidi Thabet</t>
  </si>
  <si>
    <t>593041.06</t>
  </si>
  <si>
    <t>4085402.95</t>
  </si>
  <si>
    <t>Siliana Agricole</t>
  </si>
  <si>
    <t xml:space="preserve">3984861.74 </t>
  </si>
  <si>
    <t>SILIANA LAOUJ</t>
  </si>
  <si>
    <t>540942.95</t>
  </si>
  <si>
    <t xml:space="preserve">4036958.04 </t>
  </si>
  <si>
    <t>Siliana pt rte</t>
  </si>
  <si>
    <t>535230.77</t>
  </si>
  <si>
    <t xml:space="preserve">3992432.06 </t>
  </si>
  <si>
    <t>SKHIRA</t>
  </si>
  <si>
    <t>596665.87</t>
  </si>
  <si>
    <t>3791610.47</t>
  </si>
  <si>
    <t>Skhira kef Labiedh</t>
  </si>
  <si>
    <t>550977.36</t>
  </si>
  <si>
    <t>3955437.40</t>
  </si>
  <si>
    <t>Slouguia</t>
  </si>
  <si>
    <t>546325.35</t>
  </si>
  <si>
    <t xml:space="preserve">4049324.39 </t>
  </si>
  <si>
    <t>Sned</t>
  </si>
  <si>
    <t>523001.71</t>
  </si>
  <si>
    <t>3821691.57</t>
  </si>
  <si>
    <t>SOUASSI</t>
  </si>
  <si>
    <t xml:space="preserve">640413.82 </t>
  </si>
  <si>
    <t>3912623.27</t>
  </si>
  <si>
    <t>Soukra</t>
  </si>
  <si>
    <t>SOUSSE</t>
  </si>
  <si>
    <t>647788.23</t>
  </si>
  <si>
    <t>3964406.20</t>
  </si>
  <si>
    <t>Tabarka</t>
  </si>
  <si>
    <t>478547.95</t>
  </si>
  <si>
    <t>4089381.95</t>
  </si>
  <si>
    <t>Tozeur</t>
  </si>
  <si>
    <t>TAMAGHZA</t>
  </si>
  <si>
    <t>401969.21</t>
  </si>
  <si>
    <t>3805504.78</t>
  </si>
  <si>
    <t>TATAOUINE</t>
  </si>
  <si>
    <t>636548.29</t>
  </si>
  <si>
    <t>3651503.87</t>
  </si>
  <si>
    <t>TB MAJUS</t>
  </si>
  <si>
    <t>581667.63</t>
  </si>
  <si>
    <t>4028058.18</t>
  </si>
  <si>
    <t>Tessa Pt Rte</t>
  </si>
  <si>
    <t>497612.04</t>
  </si>
  <si>
    <t>4015275.81</t>
  </si>
  <si>
    <t>Tine Amont</t>
  </si>
  <si>
    <t>559720.31</t>
  </si>
  <si>
    <t>4081670.37</t>
  </si>
  <si>
    <t>TOZEUR</t>
  </si>
  <si>
    <t>417921.24</t>
  </si>
  <si>
    <t>3753743.24</t>
  </si>
  <si>
    <t>ZAGHOUAN</t>
  </si>
  <si>
    <t>603105.08</t>
  </si>
  <si>
    <t xml:space="preserve">4029815.85 </t>
  </si>
  <si>
    <t>ZAREMDIN</t>
  </si>
  <si>
    <t>657429.29</t>
  </si>
  <si>
    <t>3938518.16</t>
  </si>
  <si>
    <t>ZARZIS</t>
  </si>
  <si>
    <t>696842.71</t>
  </si>
  <si>
    <t>3708465.83</t>
  </si>
  <si>
    <t>Zwarine Garre</t>
  </si>
  <si>
    <t>491008.87</t>
  </si>
  <si>
    <t xml:space="preserve">3986285.50 </t>
  </si>
  <si>
    <t>Colonne1</t>
  </si>
  <si>
    <t>Étiquettes de lignes</t>
  </si>
  <si>
    <t>Total général</t>
  </si>
  <si>
    <t>Somme de Nombre</t>
  </si>
  <si>
    <t>Étiquettes de colonnes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</si>
</sst>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theme="4" tint="0.5999938962981048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theme="6" tint="0.39997558519241921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14" fontId="1" fillId="0" borderId="0" xfId="0" applyNumberFormat="1" applyFont="1" applyAlignment="1">
      <alignment horizontal="center" vertical="center"/>
    </xf>
    <xf numFmtId="0" fontId="0" fillId="3" borderId="0" xfId="0" applyFill="1" applyBorder="1"/>
    <xf numFmtId="0" fontId="0" fillId="3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horizontal="center"/>
    </xf>
    <xf numFmtId="14" fontId="0" fillId="3" borderId="0" xfId="0" applyNumberFormat="1" applyFill="1" applyBorder="1" applyAlignment="1">
      <alignment horizontal="center"/>
    </xf>
    <xf numFmtId="0" fontId="0" fillId="3" borderId="0" xfId="0" applyFill="1"/>
    <xf numFmtId="0" fontId="0" fillId="5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wrapText="1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 vertical="center"/>
    </xf>
    <xf numFmtId="0" fontId="0" fillId="4" borderId="3" xfId="0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 applyBorder="1" applyAlignment="1">
      <alignment wrapText="1"/>
    </xf>
    <xf numFmtId="0" fontId="3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wrapText="1"/>
    </xf>
    <xf numFmtId="14" fontId="0" fillId="3" borderId="0" xfId="0" applyNumberFormat="1" applyFill="1" applyAlignment="1">
      <alignment horizontal="center"/>
    </xf>
    <xf numFmtId="0" fontId="0" fillId="4" borderId="4" xfId="0" applyFont="1" applyFill="1" applyBorder="1" applyAlignment="1">
      <alignment vertical="center"/>
    </xf>
    <xf numFmtId="0" fontId="5" fillId="3" borderId="0" xfId="0" applyFont="1" applyFill="1" applyBorder="1"/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6" borderId="0" xfId="0" applyFill="1" applyBorder="1" applyAlignment="1">
      <alignment horizontal="center"/>
    </xf>
    <xf numFmtId="0" fontId="0" fillId="6" borderId="0" xfId="0" applyFill="1" applyBorder="1" applyAlignment="1">
      <alignment horizontal="left"/>
    </xf>
    <xf numFmtId="0" fontId="0" fillId="6" borderId="0" xfId="0" applyFill="1" applyBorder="1" applyAlignment="1">
      <alignment horizontal="center" vertical="center"/>
    </xf>
    <xf numFmtId="0" fontId="0" fillId="7" borderId="3" xfId="0" applyFont="1" applyFill="1" applyBorder="1" applyAlignment="1">
      <alignment vertical="center"/>
    </xf>
    <xf numFmtId="0" fontId="0" fillId="6" borderId="0" xfId="0" applyFill="1" applyBorder="1" applyAlignment="1">
      <alignment horizontal="right" vertical="center"/>
    </xf>
    <xf numFmtId="0" fontId="0" fillId="6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wrapText="1"/>
    </xf>
    <xf numFmtId="14" fontId="0" fillId="6" borderId="0" xfId="0" applyNumberForma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vertical="center"/>
    </xf>
    <xf numFmtId="0" fontId="0" fillId="6" borderId="0" xfId="0" applyFill="1" applyBorder="1" applyAlignment="1">
      <alignment wrapText="1"/>
    </xf>
    <xf numFmtId="0" fontId="3" fillId="6" borderId="0" xfId="0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0" fillId="8" borderId="3" xfId="0" applyFont="1" applyFill="1" applyBorder="1" applyAlignment="1">
      <alignment vertical="center"/>
    </xf>
    <xf numFmtId="0" fontId="0" fillId="6" borderId="0" xfId="0" applyFont="1" applyFill="1" applyBorder="1" applyAlignment="1">
      <alignment horizontal="center" wrapText="1"/>
    </xf>
    <xf numFmtId="0" fontId="0" fillId="6" borderId="0" xfId="0" applyFont="1" applyFill="1" applyBorder="1" applyAlignment="1">
      <alignment horizontal="right" vertical="center"/>
    </xf>
    <xf numFmtId="0" fontId="3" fillId="6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right" vertical="center"/>
    </xf>
    <xf numFmtId="0" fontId="0" fillId="6" borderId="0" xfId="0" applyFill="1" applyBorder="1" applyAlignment="1">
      <alignment horizontal="left" vertical="center"/>
    </xf>
    <xf numFmtId="0" fontId="0" fillId="6" borderId="0" xfId="0" applyFont="1" applyFill="1" applyBorder="1" applyAlignment="1">
      <alignment horizontal="left" vertical="center"/>
    </xf>
    <xf numFmtId="0" fontId="0" fillId="6" borderId="0" xfId="0" applyFont="1" applyFill="1" applyBorder="1" applyAlignment="1">
      <alignment horizontal="left" vertical="top"/>
    </xf>
    <xf numFmtId="0" fontId="0" fillId="6" borderId="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9">
    <dxf>
      <fill>
        <patternFill patternType="none">
          <fgColor indexed="64"/>
          <bgColor theme="9" tint="0.59999389629810485"/>
        </patternFill>
      </fill>
    </dxf>
    <dxf>
      <fill>
        <patternFill patternType="none">
          <fgColor indexed="64"/>
          <bgColor theme="9" tint="0.59999389629810485"/>
        </patternFill>
      </fill>
    </dxf>
    <dxf>
      <fill>
        <patternFill patternType="none">
          <fgColor indexed="64"/>
          <bgColor theme="9" tint="0.59999389629810485"/>
        </patternFill>
      </fill>
      <alignment horizontal="center" vertical="bottom" textRotation="0" wrapText="0" indent="0" relativeIndent="255" justifyLastLine="0" shrinkToFit="0" mergeCell="0" readingOrder="0"/>
    </dxf>
    <dxf>
      <fill>
        <patternFill patternType="none">
          <fgColor indexed="64"/>
          <bgColor theme="9" tint="0.59999389629810485"/>
        </patternFill>
      </fill>
    </dxf>
    <dxf>
      <fill>
        <patternFill patternType="none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theme="9" tint="0.59999389629810485"/>
        </patternFill>
      </fill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theme="9" tint="0.59999389629810485"/>
        </patternFill>
      </fill>
      <alignment horizontal="general" vertical="center" textRotation="0" wrapText="0" indent="0" relativeIndent="0" justifyLastLine="0" shrinkToFit="0" mergeCell="0" readingOrder="0"/>
    </dxf>
    <dxf>
      <fill>
        <patternFill patternType="none">
          <fgColor indexed="64"/>
          <bgColor theme="9" tint="0.59999389629810485"/>
        </patternFill>
      </fill>
    </dxf>
    <dxf>
      <fill>
        <patternFill patternType="none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ill>
        <patternFill patternType="none">
          <fgColor indexed="64"/>
          <bgColor theme="9" tint="0.59999389629810485"/>
        </patternFill>
      </fill>
    </dxf>
    <dxf>
      <fill>
        <patternFill patternType="none">
          <fgColor indexed="64"/>
          <bgColor theme="9" tint="0.59999389629810485"/>
        </patternFill>
      </fill>
      <alignment horizontal="center" vertical="center" textRotation="0" wrapText="0" indent="0" relativeIndent="0" justifyLastLine="0" shrinkToFit="0" mergeCell="0" readingOrder="0"/>
    </dxf>
    <dxf>
      <fill>
        <patternFill patternType="none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relativeIndent="0" justifyLastLine="0" shrinkToFit="0" mergeCell="0" readingOrder="0"/>
    </dxf>
    <dxf>
      <fill>
        <patternFill patternType="none">
          <fgColor indexed="64"/>
          <bgColor theme="9" tint="0.59999389629810485"/>
        </patternFill>
      </fill>
      <alignment horizontal="center" vertical="center" textRotation="0" wrapText="0" indent="0" relativeIndent="0" justifyLastLine="0" shrinkToFit="0" mergeCell="0" readingOrder="0"/>
    </dxf>
    <dxf>
      <fill>
        <patternFill patternType="none">
          <fgColor indexed="64"/>
          <bgColor theme="9" tint="0.59999389629810485"/>
        </patternFill>
      </fill>
    </dxf>
    <dxf>
      <fill>
        <patternFill patternType="none">
          <fgColor indexed="64"/>
          <bgColor theme="9" tint="0.59999389629810485"/>
        </patternFill>
      </fill>
      <border diagonalUp="0" diagonalDown="0" outline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8" tint="0.5999633777886288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27"/>
  <c:pivotSource>
    <c:name>[inventaire reseau.xlsx]DISTRIBUTION PAR TYPE!Tableau croisé dynamique1</c:name>
    <c:fmtId val="0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</c:spPr>
        <c:marker>
          <c:symbol val="none"/>
        </c:marker>
      </c:pivotFmt>
      <c:pivotFmt>
        <c:idx val="1"/>
        <c:spPr>
          <a:solidFill>
            <a:schemeClr val="accent4">
              <a:lumMod val="75000"/>
            </a:schemeClr>
          </a:solidFill>
        </c:spPr>
      </c:pivotFmt>
      <c:pivotFmt>
        <c:idx val="2"/>
        <c:spPr>
          <a:solidFill>
            <a:schemeClr val="accent5">
              <a:lumMod val="75000"/>
            </a:schemeClr>
          </a:solidFill>
        </c:spPr>
      </c:pivotFmt>
      <c:pivotFmt>
        <c:idx val="3"/>
        <c:spPr>
          <a:solidFill>
            <a:schemeClr val="accent3">
              <a:lumMod val="75000"/>
            </a:schemeClr>
          </a:solidFill>
        </c:spP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'DISTRIBUTION PAR TYPE'!$B$41:$B$42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spPr>
              <a:solidFill>
                <a:schemeClr val="accent3">
                  <a:lumMod val="75000"/>
                </a:schemeClr>
              </a:solidFill>
            </c:spPr>
          </c:dPt>
          <c:dPt>
            <c:idx val="1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2"/>
            <c:spPr>
              <a:solidFill>
                <a:schemeClr val="accent4">
                  <a:lumMod val="75000"/>
                </a:schemeClr>
              </a:solidFill>
            </c:spPr>
          </c:dPt>
          <c:cat>
            <c:strRef>
              <c:f>'DISTRIBUTION PAR TYPE'!$A$43:$A$47</c:f>
              <c:strCache>
                <c:ptCount val="4"/>
                <c:pt idx="0">
                  <c:v>Pluviographe</c:v>
                </c:pt>
                <c:pt idx="1">
                  <c:v>Radar </c:v>
                </c:pt>
                <c:pt idx="2">
                  <c:v>Radar + SVR </c:v>
                </c:pt>
                <c:pt idx="3">
                  <c:v>Sonde </c:v>
                </c:pt>
              </c:strCache>
            </c:strRef>
          </c:cat>
          <c:val>
            <c:numRef>
              <c:f>'DISTRIBUTION PAR TYPE'!$B$43:$B$47</c:f>
              <c:numCache>
                <c:formatCode>General</c:formatCode>
                <c:ptCount val="4"/>
                <c:pt idx="0">
                  <c:v>44</c:v>
                </c:pt>
                <c:pt idx="1">
                  <c:v>35</c:v>
                </c:pt>
                <c:pt idx="2">
                  <c:v>2</c:v>
                </c:pt>
                <c:pt idx="3">
                  <c:v>21</c:v>
                </c:pt>
              </c:numCache>
            </c:numRef>
          </c:val>
        </c:ser>
        <c:axId val="112997120"/>
        <c:axId val="112998656"/>
      </c:barChart>
      <c:catAx>
        <c:axId val="112997120"/>
        <c:scaling>
          <c:orientation val="minMax"/>
        </c:scaling>
        <c:axPos val="l"/>
        <c:majorGridlines/>
        <c:tickLblPos val="nextTo"/>
        <c:crossAx val="112998656"/>
        <c:crosses val="autoZero"/>
        <c:auto val="1"/>
        <c:lblAlgn val="ctr"/>
        <c:lblOffset val="100"/>
      </c:catAx>
      <c:valAx>
        <c:axId val="112998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Nombre de station </a:t>
                </a:r>
              </a:p>
            </c:rich>
          </c:tx>
          <c:layout/>
        </c:title>
        <c:numFmt formatCode="General" sourceLinked="1"/>
        <c:tickLblPos val="nextTo"/>
        <c:crossAx val="112997120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26"/>
  <c:pivotSource>
    <c:name>[inventaire reseau.xlsx]DISTRIBUTION PAR TYPE!Tableau croisé dynamique2</c:name>
    <c:fmtId val="4"/>
  </c:pivotSource>
  <c:chart>
    <c:autoTitleDeleted val="1"/>
    <c:pivotFmts>
      <c:pivotFmt>
        <c:idx val="0"/>
        <c:marker>
          <c:symbol val="none"/>
        </c:marker>
      </c:pivotFmt>
      <c:pivotFmt>
        <c:idx val="1"/>
        <c:spPr>
          <a:solidFill>
            <a:schemeClr val="accent3">
              <a:lumMod val="75000"/>
            </a:schemeClr>
          </a:solidFill>
        </c:spPr>
      </c:pivotFmt>
      <c:pivotFmt>
        <c:idx val="2"/>
        <c:spPr>
          <a:solidFill>
            <a:schemeClr val="accent4">
              <a:lumMod val="75000"/>
            </a:schemeClr>
          </a:solidFill>
        </c:spP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'DISTRIBUTION PAR TYPE'!$B$50:$B$51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spPr>
              <a:solidFill>
                <a:schemeClr val="accent4">
                  <a:lumMod val="75000"/>
                </a:schemeClr>
              </a:solidFill>
            </c:spPr>
          </c:dPt>
          <c:dPt>
            <c:idx val="1"/>
            <c:spPr>
              <a:solidFill>
                <a:schemeClr val="accent3">
                  <a:lumMod val="75000"/>
                </a:schemeClr>
              </a:solidFill>
            </c:spPr>
          </c:dPt>
          <c:cat>
            <c:strRef>
              <c:f>'DISTRIBUTION PAR TYPE'!$A$52:$A$55</c:f>
              <c:strCache>
                <c:ptCount val="3"/>
                <c:pt idx="0">
                  <c:v>Hydrométrique </c:v>
                </c:pt>
                <c:pt idx="1">
                  <c:v>Hydro-pluviométrique</c:v>
                </c:pt>
                <c:pt idx="2">
                  <c:v>Pluviométrique </c:v>
                </c:pt>
              </c:strCache>
            </c:strRef>
          </c:cat>
          <c:val>
            <c:numRef>
              <c:f>'DISTRIBUTION PAR TYPE'!$B$52:$B$55</c:f>
              <c:numCache>
                <c:formatCode>General</c:formatCode>
                <c:ptCount val="3"/>
                <c:pt idx="0">
                  <c:v>38</c:v>
                </c:pt>
                <c:pt idx="1">
                  <c:v>18</c:v>
                </c:pt>
                <c:pt idx="2">
                  <c:v>46</c:v>
                </c:pt>
              </c:numCache>
            </c:numRef>
          </c:val>
        </c:ser>
        <c:axId val="111651840"/>
        <c:axId val="113046272"/>
      </c:barChart>
      <c:catAx>
        <c:axId val="111651840"/>
        <c:scaling>
          <c:orientation val="minMax"/>
        </c:scaling>
        <c:axPos val="l"/>
        <c:majorGridlines/>
        <c:tickLblPos val="nextTo"/>
        <c:crossAx val="113046272"/>
        <c:crosses val="autoZero"/>
        <c:auto val="1"/>
        <c:lblAlgn val="ctr"/>
        <c:lblOffset val="100"/>
      </c:catAx>
      <c:valAx>
        <c:axId val="113046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 sz="1800" b="1" i="0" baseline="0"/>
                  <a:t>Nombre de station </a:t>
                </a:r>
                <a:endParaRPr lang="fr-FR"/>
              </a:p>
            </c:rich>
          </c:tx>
          <c:layout/>
        </c:title>
        <c:numFmt formatCode="General" sourceLinked="1"/>
        <c:tickLblPos val="nextTo"/>
        <c:crossAx val="111651840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26"/>
  <c:pivotSource>
    <c:name>[inventaire reseau.xlsx]DISTRIBUTION PAR TYPE!Tableau croisé dynamique3</c:name>
    <c:fmtId val="5"/>
  </c:pivotSource>
  <c:chart>
    <c:autoTitleDeleted val="1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</c:spPr>
        <c:marker>
          <c:symbol val="none"/>
        </c:marker>
      </c:pivotFmt>
      <c:pivotFmt>
        <c:idx val="1"/>
        <c:spPr>
          <a:solidFill>
            <a:schemeClr val="accent6">
              <a:lumMod val="75000"/>
            </a:schemeClr>
          </a:solidFill>
        </c:spPr>
      </c:pivotFmt>
      <c:pivotFmt>
        <c:idx val="2"/>
        <c:spPr>
          <a:solidFill>
            <a:schemeClr val="accent3">
              <a:lumMod val="75000"/>
            </a:schemeClr>
          </a:solidFill>
        </c:spP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'DISTRIBUTION PAR TYPE'!$B$34:$B$35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dPt>
            <c:idx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1"/>
            <c:spPr>
              <a:solidFill>
                <a:schemeClr val="accent3">
                  <a:lumMod val="75000"/>
                </a:schemeClr>
              </a:solidFill>
            </c:spPr>
          </c:dPt>
          <c:cat>
            <c:strRef>
              <c:f>'DISTRIBUTION PAR TYPE'!$A$36:$A$38</c:f>
              <c:strCache>
                <c:ptCount val="2"/>
                <c:pt idx="0">
                  <c:v>GPRS</c:v>
                </c:pt>
                <c:pt idx="1">
                  <c:v>GSM Data </c:v>
                </c:pt>
              </c:strCache>
            </c:strRef>
          </c:cat>
          <c:val>
            <c:numRef>
              <c:f>'DISTRIBUTION PAR TYPE'!$B$36:$B$38</c:f>
              <c:numCache>
                <c:formatCode>General</c:formatCode>
                <c:ptCount val="2"/>
                <c:pt idx="0">
                  <c:v>78</c:v>
                </c:pt>
                <c:pt idx="1">
                  <c:v>24</c:v>
                </c:pt>
              </c:numCache>
            </c:numRef>
          </c:val>
        </c:ser>
        <c:axId val="113342336"/>
        <c:axId val="113343872"/>
      </c:barChart>
      <c:catAx>
        <c:axId val="113342336"/>
        <c:scaling>
          <c:orientation val="minMax"/>
        </c:scaling>
        <c:axPos val="l"/>
        <c:majorGridlines/>
        <c:tickLblPos val="nextTo"/>
        <c:crossAx val="113343872"/>
        <c:crosses val="autoZero"/>
        <c:auto val="1"/>
        <c:lblAlgn val="ctr"/>
        <c:lblOffset val="100"/>
      </c:catAx>
      <c:valAx>
        <c:axId val="11334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 sz="1200" b="1" i="0" baseline="0"/>
                  <a:t>Nombre de station </a:t>
                </a:r>
                <a:endParaRPr lang="fr-FR" sz="1200" b="1"/>
              </a:p>
            </c:rich>
          </c:tx>
          <c:layout/>
        </c:title>
        <c:numFmt formatCode="General" sourceLinked="1"/>
        <c:tickLblPos val="nextTo"/>
        <c:crossAx val="113342336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26"/>
  <c:pivotSource>
    <c:name>[inventaire reseau.xlsx]ETAT de transmission!Tableau croisé dynamique4</c:name>
    <c:fmtId val="7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</c:spP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Percent val="1"/>
        </c:dLbl>
      </c:pivotFmt>
      <c:pivotFmt>
        <c:idx val="1"/>
        <c:spPr>
          <a:solidFill>
            <a:schemeClr val="accent3">
              <a:lumMod val="75000"/>
            </a:schemeClr>
          </a:solidFill>
        </c:spPr>
      </c:pivotFmt>
      <c:pivotFmt>
        <c:idx val="2"/>
        <c:spPr>
          <a:solidFill>
            <a:schemeClr val="accent2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Percent val="1"/>
        </c:dLbl>
      </c:pivotFmt>
      <c:pivotFmt>
        <c:idx val="3"/>
        <c:spPr>
          <a:solidFill>
            <a:schemeClr val="accent3">
              <a:lumMod val="75000"/>
            </a:schemeClr>
          </a:solidFill>
        </c:spPr>
      </c:pivotFmt>
      <c:pivotFmt>
        <c:idx val="4"/>
        <c:spPr>
          <a:solidFill>
            <a:schemeClr val="accent2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Percent val="1"/>
        </c:dLbl>
      </c:pivotFmt>
      <c:pivotFmt>
        <c:idx val="5"/>
        <c:spPr>
          <a:solidFill>
            <a:schemeClr val="accent3">
              <a:lumMod val="75000"/>
            </a:schemeClr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'ETAT de transmission'!$C$15:$C$16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Pt>
            <c:idx val="1"/>
            <c:spPr>
              <a:solidFill>
                <a:schemeClr val="accent3">
                  <a:lumMod val="75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Percent val="1"/>
            <c:showLeaderLines val="1"/>
          </c:dLbls>
          <c:cat>
            <c:strRef>
              <c:f>'ETAT de transmission'!$B$17:$B$19</c:f>
              <c:strCache>
                <c:ptCount val="2"/>
                <c:pt idx="0">
                  <c:v>Ne transmet pas</c:v>
                </c:pt>
                <c:pt idx="1">
                  <c:v>Transmet </c:v>
                </c:pt>
              </c:strCache>
            </c:strRef>
          </c:cat>
          <c:val>
            <c:numRef>
              <c:f>'ETAT de transmission'!$C$17:$C$19</c:f>
              <c:numCache>
                <c:formatCode>General</c:formatCode>
                <c:ptCount val="2"/>
                <c:pt idx="0">
                  <c:v>63</c:v>
                </c:pt>
                <c:pt idx="1">
                  <c:v>39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142875</xdr:rowOff>
    </xdr:from>
    <xdr:to>
      <xdr:col>5</xdr:col>
      <xdr:colOff>190499</xdr:colOff>
      <xdr:row>17</xdr:row>
      <xdr:rowOff>161925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</xdr:row>
      <xdr:rowOff>104775</xdr:rowOff>
    </xdr:from>
    <xdr:to>
      <xdr:col>10</xdr:col>
      <xdr:colOff>190500</xdr:colOff>
      <xdr:row>15</xdr:row>
      <xdr:rowOff>180975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647700</xdr:colOff>
      <xdr:row>21</xdr:row>
      <xdr:rowOff>57150</xdr:rowOff>
    </xdr:from>
    <xdr:to>
      <xdr:col>8</xdr:col>
      <xdr:colOff>628650</xdr:colOff>
      <xdr:row>35</xdr:row>
      <xdr:rowOff>133350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7</xdr:col>
      <xdr:colOff>619125</xdr:colOff>
      <xdr:row>13</xdr:row>
      <xdr:rowOff>85725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133350</xdr:rowOff>
    </xdr:from>
    <xdr:to>
      <xdr:col>10</xdr:col>
      <xdr:colOff>0</xdr:colOff>
      <xdr:row>4</xdr:row>
      <xdr:rowOff>85725</xdr:rowOff>
    </xdr:to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8696325" y="13335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Ministère de l’Agriculture, des Ressources Hydrauliques et de la Pêche</a:t>
          </a:r>
        </a:p>
        <a:p>
          <a:pPr algn="ctr" rtl="0">
            <a:defRPr sz="1000"/>
          </a:pPr>
          <a:endParaRPr lang="fr-FR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fr-FR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466725</xdr:colOff>
      <xdr:row>0</xdr:row>
      <xdr:rowOff>9525</xdr:rowOff>
    </xdr:from>
    <xdr:to>
      <xdr:col>8</xdr:col>
      <xdr:colOff>1057275</xdr:colOff>
      <xdr:row>2</xdr:row>
      <xdr:rowOff>38100</xdr:rowOff>
    </xdr:to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3895725" y="9525"/>
          <a:ext cx="372427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République Tunisienne</a:t>
          </a: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</xdr:col>
      <xdr:colOff>209550</xdr:colOff>
      <xdr:row>0</xdr:row>
      <xdr:rowOff>85725</xdr:rowOff>
    </xdr:from>
    <xdr:to>
      <xdr:col>4</xdr:col>
      <xdr:colOff>492125</xdr:colOff>
      <xdr:row>4</xdr:row>
      <xdr:rowOff>79374</xdr:rowOff>
    </xdr:to>
    <xdr:sp macro="" textlink="">
      <xdr:nvSpPr>
        <xdr:cNvPr id="4" name="Text Box 5"/>
        <xdr:cNvSpPr txBox="1">
          <a:spLocks noChangeArrowheads="1"/>
        </xdr:cNvSpPr>
      </xdr:nvSpPr>
      <xdr:spPr bwMode="auto">
        <a:xfrm>
          <a:off x="209550" y="85725"/>
          <a:ext cx="2206625" cy="7556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Direction Générale des Ressources en Eau</a:t>
          </a:r>
        </a:p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Direction  des  Eaux de Surface</a:t>
          </a:r>
        </a:p>
        <a:p>
          <a:pPr algn="ctr" rtl="0">
            <a:defRPr sz="1000"/>
          </a:pPr>
          <a:endParaRPr lang="fr-FR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fr-FR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10</xdr:col>
      <xdr:colOff>0</xdr:colOff>
      <xdr:row>4</xdr:row>
      <xdr:rowOff>57150</xdr:rowOff>
    </xdr:from>
    <xdr:to>
      <xdr:col>10</xdr:col>
      <xdr:colOff>546538</xdr:colOff>
      <xdr:row>7</xdr:row>
      <xdr:rowOff>151765</xdr:rowOff>
    </xdr:to>
    <xdr:pic>
      <xdr:nvPicPr>
        <xdr:cNvPr id="5" name="Image 4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96325" y="819150"/>
          <a:ext cx="546538" cy="66611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962025</xdr:colOff>
      <xdr:row>1</xdr:row>
      <xdr:rowOff>161925</xdr:rowOff>
    </xdr:from>
    <xdr:to>
      <xdr:col>6</xdr:col>
      <xdr:colOff>751837</xdr:colOff>
      <xdr:row>4</xdr:row>
      <xdr:rowOff>142875</xdr:rowOff>
    </xdr:to>
    <xdr:pic>
      <xdr:nvPicPr>
        <xdr:cNvPr id="6" name="Image 5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391025" y="352425"/>
          <a:ext cx="837561" cy="5524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152400</xdr:colOff>
      <xdr:row>4</xdr:row>
      <xdr:rowOff>57150</xdr:rowOff>
    </xdr:from>
    <xdr:to>
      <xdr:col>2</xdr:col>
      <xdr:colOff>628650</xdr:colOff>
      <xdr:row>8</xdr:row>
      <xdr:rowOff>150957</xdr:rowOff>
    </xdr:to>
    <xdr:pic>
      <xdr:nvPicPr>
        <xdr:cNvPr id="7" name="Image 6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066800" y="819150"/>
          <a:ext cx="476250" cy="85580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1</xdr:col>
      <xdr:colOff>305699</xdr:colOff>
      <xdr:row>120</xdr:row>
      <xdr:rowOff>16595</xdr:rowOff>
    </xdr:from>
    <xdr:to>
      <xdr:col>5</xdr:col>
      <xdr:colOff>143774</xdr:colOff>
      <xdr:row>127</xdr:row>
      <xdr:rowOff>107830</xdr:rowOff>
    </xdr:to>
    <xdr:sp macro="" textlink="">
      <xdr:nvSpPr>
        <xdr:cNvPr id="8" name="ZoneTexte 7"/>
        <xdr:cNvSpPr txBox="1"/>
      </xdr:nvSpPr>
      <xdr:spPr>
        <a:xfrm>
          <a:off x="305699" y="24848270"/>
          <a:ext cx="3267075" cy="1424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>
              <a:latin typeface="+mn-lt"/>
            </a:rPr>
            <a:t>En date 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du </a:t>
          </a:r>
          <a:r>
            <a:rPr lang="fr-FR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02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/</a:t>
          </a:r>
          <a:r>
            <a:rPr lang="fr-FR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04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/202</a:t>
          </a:r>
          <a:r>
            <a:rPr lang="fr-FR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6</a:t>
          </a:r>
          <a:r>
            <a:rPr lang="fr-FR" sz="1100" baseline="0">
              <a:latin typeface="+mn-lt"/>
            </a:rPr>
            <a:t>, l'analyse de l'état de réseau a permis de quantifier </a:t>
          </a:r>
          <a:r>
            <a:rPr lang="fr-FR" sz="1000" baseline="0">
              <a:latin typeface="+mn-lt"/>
            </a:rPr>
            <a:t>63 </a:t>
          </a:r>
          <a:r>
            <a:rPr lang="fr-FR" sz="1100" baseline="0">
              <a:latin typeface="+mn-lt"/>
            </a:rPr>
            <a:t>stations qui ne transmettent pas leurs données en temps réel comme le montre la figure ci-contre.</a:t>
          </a:r>
        </a:p>
        <a:p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hemira" refreshedDate="46115.688889699071" createdVersion="3" refreshedVersion="3" minRefreshableVersion="3" recordCount="102">
  <cacheSource type="worksheet">
    <worksheetSource name="Tableau4"/>
  </cacheSource>
  <cacheFields count="16">
    <cacheField name="Gouvernorat" numFmtId="0">
      <sharedItems count="24">
        <s v="Kasserine"/>
        <s v="Jendouba"/>
        <s v="Beja"/>
        <s v="Bizerte"/>
        <s v="Manouba"/>
        <s v="Gabes"/>
        <s v="Nabeul"/>
        <s v="Kairouan"/>
        <s v="Sousse"/>
        <s v="Gafsa"/>
        <s v="Ariana"/>
        <s v="Kebili"/>
        <s v="Kef"/>
        <s v="Ben Arous"/>
        <s v="Siliana"/>
        <s v="Mahdia"/>
        <s v="Medenine"/>
        <s v="Sidi Bouzid"/>
        <s v="Monastir"/>
        <s v="Zaghouan"/>
        <s v="Tataouine"/>
        <s v="Tunis"/>
        <s v="Sfax"/>
        <s v="Tozeur"/>
      </sharedItems>
    </cacheField>
    <cacheField name="Code Station" numFmtId="0">
      <sharedItems containsSemiMixedTypes="0" containsString="0" containsNumber="1" containsInteger="1" minValue="148569880" maxValue="1489958520"/>
    </cacheField>
    <cacheField name="Colonne1" numFmtId="0">
      <sharedItems containsNonDate="0" containsString="0" containsBlank="1"/>
    </cacheField>
    <cacheField name="Nom de la station" numFmtId="0">
      <sharedItems/>
    </cacheField>
    <cacheField name="N° d'appel" numFmtId="0">
      <sharedItems containsString="0" containsBlank="1" containsNumber="1" containsInteger="1" minValue="28220961" maxValue="28503637"/>
    </cacheField>
    <cacheField name="Type" numFmtId="0">
      <sharedItems count="3">
        <s v="Hydro-pluviométrique"/>
        <s v="Pluviométrique "/>
        <s v="Hydrométrique "/>
      </sharedItems>
    </cacheField>
    <cacheField name="Type capteur" numFmtId="0">
      <sharedItems count="4">
        <s v="Sonde "/>
        <s v="Pluviographe"/>
        <s v="Radar "/>
        <s v="Radar + SVR "/>
      </sharedItems>
    </cacheField>
    <cacheField name="Nombre" numFmtId="0">
      <sharedItems containsSemiMixedTypes="0" containsString="0" containsNumber="1" containsInteger="1" minValue="1" maxValue="1" count="1">
        <n v="1"/>
      </sharedItems>
    </cacheField>
    <cacheField name="Etat" numFmtId="0">
      <sharedItems count="2">
        <s v="Ne transmet pas"/>
        <s v="Transmet "/>
      </sharedItems>
    </cacheField>
    <cacheField name="Mode de transmission" numFmtId="0">
      <sharedItems count="2">
        <s v="GSM Data "/>
        <s v="GPRS"/>
      </sharedItems>
    </cacheField>
    <cacheField name="Observation " numFmtId="0">
      <sharedItems/>
    </cacheField>
    <cacheField name="x" numFmtId="0">
      <sharedItems containsMixedTypes="1" containsNumber="1" minValue="437428" maxValue="646130"/>
    </cacheField>
    <cacheField name="y" numFmtId="0">
      <sharedItems containsMixedTypes="1" containsNumber="1" minValue="3557098" maxValue="4092178"/>
    </cacheField>
    <cacheField name="Date débit" numFmtId="0">
      <sharedItems containsDate="1" containsMixedTypes="1" minDate="2010-03-14T00:00:00" maxDate="2023-03-23T00:00:00"/>
    </cacheField>
    <cacheField name="intervention" numFmtId="0">
      <sharedItems containsBlank="1"/>
    </cacheField>
    <cacheField name="date de l'intervention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">
  <r>
    <x v="0"/>
    <n v="1486200110"/>
    <m/>
    <s v="AIN SABOUN"/>
    <n v="28503480"/>
    <x v="0"/>
    <x v="0"/>
    <x v="0"/>
    <x v="0"/>
    <x v="0"/>
    <s v="Sonde+Panneau solaire"/>
    <s v="510250.02"/>
    <s v="3935088.59"/>
    <d v="2016-12-13T00:00:00"/>
    <m/>
    <m/>
  </r>
  <r>
    <x v="1"/>
    <n v="1483918801"/>
    <m/>
    <s v="AinDrahem"/>
    <n v="28503622"/>
    <x v="1"/>
    <x v="1"/>
    <x v="0"/>
    <x v="0"/>
    <x v="1"/>
    <s v="Batterie"/>
    <s v="471737.03"/>
    <s v="4070167.74"/>
    <d v="2016-09-06T00:00:00"/>
    <s v="ff"/>
    <m/>
  </r>
  <r>
    <x v="2"/>
    <n v="1485082302"/>
    <m/>
    <s v="BEJA "/>
    <n v="28503630"/>
    <x v="1"/>
    <x v="2"/>
    <x v="0"/>
    <x v="1"/>
    <x v="1"/>
    <s v="RAS"/>
    <s v="519320.31"/>
    <s v="4065602.48"/>
    <d v="2018-01-09T00:00:00"/>
    <m/>
    <m/>
  </r>
  <r>
    <x v="3"/>
    <n v="1483948405"/>
    <m/>
    <s v="Bg joumine"/>
    <n v="28503625"/>
    <x v="1"/>
    <x v="1"/>
    <x v="0"/>
    <x v="1"/>
    <x v="1"/>
    <s v="Batterie"/>
    <s v="554037.16"/>
    <s v="4094090.15"/>
    <d v="2016-09-05T00:00:00"/>
    <m/>
    <m/>
  </r>
  <r>
    <x v="2"/>
    <n v="1485900129"/>
    <m/>
    <s v="Bg Sidi Salem"/>
    <m/>
    <x v="0"/>
    <x v="1"/>
    <x v="0"/>
    <x v="0"/>
    <x v="1"/>
    <s v="Radar"/>
    <s v="535370.41"/>
    <s v="4049598.04"/>
    <d v="2012-06-07T00:00:00"/>
    <m/>
    <m/>
  </r>
  <r>
    <x v="3"/>
    <n v="1483900405"/>
    <m/>
    <s v="Bge sejnane"/>
    <n v="28503630"/>
    <x v="1"/>
    <x v="1"/>
    <x v="0"/>
    <x v="0"/>
    <x v="1"/>
    <s v="Pas de couverture réseau en GSM data"/>
    <s v="542470.3"/>
    <s v="4115667.97"/>
    <d v="2016-09-05T00:00:00"/>
    <m/>
    <m/>
  </r>
  <r>
    <x v="4"/>
    <n v="1485900160"/>
    <m/>
    <s v="Borj Toumi"/>
    <m/>
    <x v="2"/>
    <x v="3"/>
    <x v="0"/>
    <x v="1"/>
    <x v="1"/>
    <s v="RAS"/>
    <n v="564850.18999999994"/>
    <n v="4066599.98"/>
    <d v="2022-10-15T00:00:00"/>
    <m/>
    <m/>
  </r>
  <r>
    <x v="1"/>
    <n v="1485400180"/>
    <m/>
    <s v="BOU SALEM"/>
    <n v="28503582"/>
    <x v="0"/>
    <x v="2"/>
    <x v="0"/>
    <x v="1"/>
    <x v="1"/>
    <s v="RAS"/>
    <s v="496980.46"/>
    <s v="4050557.95"/>
    <d v="2012-01-16T00:00:00"/>
    <m/>
    <m/>
  </r>
  <r>
    <x v="5"/>
    <n v="1489600220"/>
    <m/>
    <s v="Cassis de Toujane"/>
    <m/>
    <x v="2"/>
    <x v="0"/>
    <x v="0"/>
    <x v="0"/>
    <x v="1"/>
    <s v="Batterie"/>
    <s v="593796.81"/>
    <s v="3724196.95"/>
    <d v="2012-07-10T00:00:00"/>
    <m/>
    <m/>
  </r>
  <r>
    <x v="1"/>
    <n v="1485400130"/>
    <m/>
    <s v="CHEMTOU"/>
    <n v="28503453"/>
    <x v="0"/>
    <x v="0"/>
    <x v="0"/>
    <x v="0"/>
    <x v="1"/>
    <s v="Modem"/>
    <s v="461991.10"/>
    <s v="4038083.11"/>
    <d v="2015-09-14T00:00:00"/>
    <m/>
    <m/>
  </r>
  <r>
    <x v="5"/>
    <n v="1489500170"/>
    <m/>
    <s v="El Hamma télépherique"/>
    <n v="28503627"/>
    <x v="0"/>
    <x v="2"/>
    <x v="0"/>
    <x v="0"/>
    <x v="1"/>
    <s v="Modem+Batterie"/>
    <s v="570641.05"/>
    <s v="3749365.14"/>
    <d v="2018-02-01T00:00:00"/>
    <m/>
    <m/>
  </r>
  <r>
    <x v="6"/>
    <n v="1484901308"/>
    <m/>
    <s v="EL HAOUARIA"/>
    <n v="28503449"/>
    <x v="1"/>
    <x v="1"/>
    <x v="0"/>
    <x v="1"/>
    <x v="1"/>
    <s v="DUOSENS "/>
    <s v="678914.80"/>
    <s v="4102145.7"/>
    <d v="2017-09-14T00:00:00"/>
    <m/>
    <m/>
  </r>
  <r>
    <x v="2"/>
    <n v="1485900141"/>
    <m/>
    <s v="El Herri"/>
    <n v="28220989"/>
    <x v="0"/>
    <x v="0"/>
    <x v="0"/>
    <x v="0"/>
    <x v="1"/>
    <s v="Modem"/>
    <s v="559412.43"/>
    <s v="4064233.79"/>
    <d v="2011-10-11T00:00:00"/>
    <m/>
    <m/>
  </r>
  <r>
    <x v="7"/>
    <n v="1486902811"/>
    <m/>
    <s v="EL OUSLATIA"/>
    <n v="28503597"/>
    <x v="1"/>
    <x v="1"/>
    <x v="0"/>
    <x v="0"/>
    <x v="1"/>
    <s v="Batterie"/>
    <s v="562577.55"/>
    <s v="3988150.24"/>
    <d v="2017-02-21T00:00:00"/>
    <m/>
    <m/>
  </r>
  <r>
    <x v="8"/>
    <n v="1484951912"/>
    <m/>
    <s v="ENFIDHA"/>
    <n v="28503488"/>
    <x v="1"/>
    <x v="1"/>
    <x v="0"/>
    <x v="1"/>
    <x v="1"/>
    <s v="RAS"/>
    <s v="623882.89"/>
    <s v="3999781.22"/>
    <d v="2017-03-03T00:00:00"/>
    <m/>
    <m/>
  </r>
  <r>
    <x v="1"/>
    <n v="1485965922"/>
    <m/>
    <s v="Fernena P"/>
    <n v="28503494"/>
    <x v="1"/>
    <x v="0"/>
    <x v="0"/>
    <x v="0"/>
    <x v="1"/>
    <s v="Modem"/>
    <s v="472853.59"/>
    <s v="4056757.23"/>
    <d v="2017-12-05T00:00:00"/>
    <m/>
    <m/>
  </r>
  <r>
    <x v="5"/>
    <n v="1489919218"/>
    <m/>
    <s v="Gabes"/>
    <n v="28503590"/>
    <x v="1"/>
    <x v="1"/>
    <x v="0"/>
    <x v="0"/>
    <x v="1"/>
    <s v="Batterie"/>
    <s v="602534.52"/>
    <s v="3748040.19"/>
    <d v="2017-07-11T00:00:00"/>
    <m/>
    <m/>
  </r>
  <r>
    <x v="9"/>
    <n v="1488904616"/>
    <m/>
    <s v="Gafsa"/>
    <n v="28503358"/>
    <x v="1"/>
    <x v="1"/>
    <x v="0"/>
    <x v="0"/>
    <x v="0"/>
    <s v="Batterie"/>
    <s v="481739.38 "/>
    <s v="3810008.64"/>
    <d v="2017-11-01T00:00:00"/>
    <m/>
    <m/>
  </r>
  <r>
    <x v="1"/>
    <n v="1485400110"/>
    <m/>
    <s v="Ghardimaou"/>
    <n v="28503593"/>
    <x v="0"/>
    <x v="2"/>
    <x v="0"/>
    <x v="1"/>
    <x v="1"/>
    <s v="RAS"/>
    <s v="449355.47"/>
    <s v="4034112.42"/>
    <d v="2012-01-25T00:00:00"/>
    <m/>
    <m/>
  </r>
  <r>
    <x v="1"/>
    <n v="1485400111"/>
    <m/>
    <s v="Ghardimaou PVF"/>
    <n v="28503536"/>
    <x v="2"/>
    <x v="2"/>
    <x v="0"/>
    <x v="1"/>
    <x v="1"/>
    <s v="RAS"/>
    <s v="447876.14 "/>
    <s v="4031485.83"/>
    <d v="2015-06-07T00:00:00"/>
    <m/>
    <m/>
  </r>
  <r>
    <x v="1"/>
    <n v="1485101211"/>
    <m/>
    <s v="GP17  MLG"/>
    <n v="28220998"/>
    <x v="2"/>
    <x v="2"/>
    <x v="0"/>
    <x v="1"/>
    <x v="1"/>
    <s v="RAS"/>
    <s v="477464.22"/>
    <s v="4028848.19 "/>
    <d v="2012-01-17T00:00:00"/>
    <m/>
    <m/>
  </r>
  <r>
    <x v="10"/>
    <n v="1485900187"/>
    <m/>
    <s v="HenchirTobias"/>
    <n v="28220975"/>
    <x v="2"/>
    <x v="2"/>
    <x v="0"/>
    <x v="1"/>
    <x v="1"/>
    <s v="RAS"/>
    <s v="595643.89"/>
    <s v="4097538.91"/>
    <d v="2015-12-25T00:00:00"/>
    <m/>
    <m/>
  </r>
  <r>
    <x v="2"/>
    <n v="1483700350"/>
    <m/>
    <s v="Jbel Boubrima"/>
    <n v="28503537"/>
    <x v="2"/>
    <x v="0"/>
    <x v="0"/>
    <x v="1"/>
    <x v="1"/>
    <s v="RAS"/>
    <s v="509545.94"/>
    <s v="4084536.96"/>
    <d v="2018-05-03T00:00:00"/>
    <m/>
    <m/>
  </r>
  <r>
    <x v="3"/>
    <n v="1483401550"/>
    <m/>
    <s v="Jebal Antra"/>
    <n v="28503627"/>
    <x v="2"/>
    <x v="0"/>
    <x v="0"/>
    <x v="0"/>
    <x v="0"/>
    <s v="Sonde"/>
    <s v="541101.67"/>
    <s v="4089759.51"/>
    <d v="2018-03-02T00:00:00"/>
    <m/>
    <m/>
  </r>
  <r>
    <x v="4"/>
    <n v="1485900170"/>
    <m/>
    <s v="JEDEIDA"/>
    <n v="28503543"/>
    <x v="0"/>
    <x v="2"/>
    <x v="0"/>
    <x v="1"/>
    <x v="1"/>
    <s v="RAS"/>
    <s v="582686.64"/>
    <s v="4078288.94"/>
    <d v="2014-06-24T00:00:00"/>
    <m/>
    <m/>
  </r>
  <r>
    <x v="1"/>
    <n v="1485400160"/>
    <m/>
    <s v="Jendouba"/>
    <n v="28503413"/>
    <x v="0"/>
    <x v="2"/>
    <x v="0"/>
    <x v="1"/>
    <x v="1"/>
    <s v="RAS"/>
    <s v="479257.91"/>
    <s v="4039545.66"/>
    <d v="2012-02-03T00:00:00"/>
    <m/>
    <m/>
  </r>
  <r>
    <x v="1"/>
    <n v="148569880"/>
    <m/>
    <s v="Jendouba P"/>
    <n v="28503544"/>
    <x v="1"/>
    <x v="1"/>
    <x v="0"/>
    <x v="1"/>
    <x v="1"/>
    <s v="Batterie"/>
    <s v="481222.10"/>
    <s v="4039950.03"/>
    <d v="2016-09-06T00:00:00"/>
    <m/>
    <m/>
  </r>
  <r>
    <x v="7"/>
    <n v="1486949611"/>
    <m/>
    <s v="KAIROUAN CRDA"/>
    <n v="28503583"/>
    <x v="1"/>
    <x v="1"/>
    <x v="0"/>
    <x v="0"/>
    <x v="1"/>
    <s v="Batterie"/>
    <s v="598455.76"/>
    <s v="3949038.43"/>
    <d v="2017-02-03T00:00:00"/>
    <m/>
    <m/>
  </r>
  <r>
    <x v="0"/>
    <n v="1486922109"/>
    <m/>
    <s v="Kasserine P"/>
    <n v="28503489"/>
    <x v="1"/>
    <x v="1"/>
    <x v="0"/>
    <x v="1"/>
    <x v="1"/>
    <s v="RAS"/>
    <s v="483741.19"/>
    <s v="3891644.67"/>
    <d v="2017-12-02T00:00:00"/>
    <m/>
    <m/>
  </r>
  <r>
    <x v="11"/>
    <n v="1489958520"/>
    <m/>
    <s v="KEBILI"/>
    <m/>
    <x v="1"/>
    <x v="1"/>
    <x v="0"/>
    <x v="0"/>
    <x v="0"/>
    <s v="Pas de couverture réseau en GSM data"/>
    <s v="497078.22"/>
    <s v="3729120.59"/>
    <d v="2017-10-27T00:00:00"/>
    <m/>
    <m/>
  </r>
  <r>
    <x v="12"/>
    <n v="1485361903"/>
    <m/>
    <s v="Kef P"/>
    <n v="28220962"/>
    <x v="1"/>
    <x v="1"/>
    <x v="0"/>
    <x v="0"/>
    <x v="1"/>
    <s v="Batterie"/>
    <s v="473003.02"/>
    <s v="4002107.07"/>
    <d v="2016-09-07T00:00:00"/>
    <m/>
    <m/>
  </r>
  <r>
    <x v="2"/>
    <n v="1485801890"/>
    <m/>
    <s v="Khalled Aval"/>
    <n v="28503564"/>
    <x v="2"/>
    <x v="0"/>
    <x v="0"/>
    <x v="0"/>
    <x v="1"/>
    <s v="Modem"/>
    <s v="535489.64"/>
    <s v="4044793.93"/>
    <d v="2012-04-19T00:00:00"/>
    <m/>
    <m/>
  </r>
  <r>
    <x v="0"/>
    <n v="1486300140"/>
    <m/>
    <s v="Khenguette Zazia"/>
    <m/>
    <x v="0"/>
    <x v="0"/>
    <x v="0"/>
    <x v="1"/>
    <x v="1"/>
    <s v="RAS"/>
    <s v="510521.09"/>
    <s v="3883087.58"/>
    <d v="2012-09-10T00:00:00"/>
    <m/>
    <m/>
  </r>
  <r>
    <x v="10"/>
    <n v="1485351912"/>
    <m/>
    <s v="KLT Andalous"/>
    <n v="28503563"/>
    <x v="1"/>
    <x v="1"/>
    <x v="0"/>
    <x v="1"/>
    <x v="1"/>
    <s v="Batterie"/>
    <s v="600017.75"/>
    <s v="4102254.49"/>
    <d v="2016-09-08T00:00:00"/>
    <m/>
    <m/>
  </r>
  <r>
    <x v="13"/>
    <n v="1484100180"/>
    <m/>
    <s v="LA MADELAINE"/>
    <n v="28220980"/>
    <x v="2"/>
    <x v="2"/>
    <x v="0"/>
    <x v="1"/>
    <x v="1"/>
    <s v="RAS"/>
    <s v="611922.35"/>
    <s v="4065086.41"/>
    <d v="2012-10-16T00:00:00"/>
    <m/>
    <m/>
  </r>
  <r>
    <x v="2"/>
    <n v="1485802270"/>
    <m/>
    <s v="Lahmar"/>
    <n v="28503466"/>
    <x v="2"/>
    <x v="2"/>
    <x v="0"/>
    <x v="1"/>
    <x v="1"/>
    <s v="RAS"/>
    <s v="563553.84"/>
    <s v="4055959.57"/>
    <d v="2014-10-06T00:00:00"/>
    <m/>
    <m/>
  </r>
  <r>
    <x v="14"/>
    <n v="1485504870"/>
    <m/>
    <s v="M12 OUSAFA"/>
    <n v="28503437"/>
    <x v="2"/>
    <x v="0"/>
    <x v="0"/>
    <x v="0"/>
    <x v="0"/>
    <s v="Vendalisée"/>
    <s v="538796.30"/>
    <s v="3982434.13"/>
    <d v="2017-02-01T00:00:00"/>
    <m/>
    <m/>
  </r>
  <r>
    <x v="15"/>
    <n v="1487904814"/>
    <m/>
    <s v="MAHDIA"/>
    <n v="28220991"/>
    <x v="1"/>
    <x v="1"/>
    <x v="0"/>
    <x v="0"/>
    <x v="1"/>
    <s v="Batterie"/>
    <s v="683876.78"/>
    <s v="3932253.75"/>
    <d v="2017-03-09T00:00:00"/>
    <m/>
    <m/>
  </r>
  <r>
    <x v="4"/>
    <n v="1484911924"/>
    <m/>
    <s v="Mannouba P"/>
    <n v="28503633"/>
    <x v="1"/>
    <x v="1"/>
    <x v="0"/>
    <x v="1"/>
    <x v="1"/>
    <s v="RAS"/>
    <s v="597302.03"/>
    <s v="4074708.93"/>
    <d v="2016-09-09T00:00:00"/>
    <m/>
    <m/>
  </r>
  <r>
    <x v="3"/>
    <n v="1483600130"/>
    <m/>
    <s v="Mateur Joumine"/>
    <n v="28503587"/>
    <x v="2"/>
    <x v="2"/>
    <x v="0"/>
    <x v="1"/>
    <x v="1"/>
    <s v="RAS"/>
    <s v="560481.10"/>
    <s v="4099291.91"/>
    <d v="2012-09-24T00:00:00"/>
    <m/>
    <m/>
  </r>
  <r>
    <x v="5"/>
    <n v="1489904918"/>
    <m/>
    <s v="Matmata"/>
    <n v="28503440"/>
    <x v="1"/>
    <x v="1"/>
    <x v="0"/>
    <x v="0"/>
    <x v="1"/>
    <s v="Modem"/>
    <s v="590088.90"/>
    <s v="3711690.99 "/>
    <d v="2017-07-07T00:00:00"/>
    <m/>
    <m/>
  </r>
  <r>
    <x v="16"/>
    <n v="1489930119"/>
    <m/>
    <s v="Medenine"/>
    <n v="28503443"/>
    <x v="1"/>
    <x v="1"/>
    <x v="0"/>
    <x v="0"/>
    <x v="0"/>
    <s v="Batterie"/>
    <s v="638565.27"/>
    <s v="3690048.61"/>
    <d v="2017-07-07T00:00:00"/>
    <m/>
    <m/>
  </r>
  <r>
    <x v="2"/>
    <n v="1485900139"/>
    <m/>
    <s v="MEJEZ GP5"/>
    <n v="28220972"/>
    <x v="2"/>
    <x v="2"/>
    <x v="0"/>
    <x v="1"/>
    <x v="1"/>
    <s v="RAS"/>
    <s v="554423.34"/>
    <s v="4055163.76"/>
    <d v="2011-11-29T00:00:00"/>
    <m/>
    <m/>
  </r>
  <r>
    <x v="2"/>
    <n v="1485900138"/>
    <m/>
    <s v="Mejez GP5 SVR"/>
    <m/>
    <x v="2"/>
    <x v="3"/>
    <x v="0"/>
    <x v="0"/>
    <x v="1"/>
    <s v="RAS"/>
    <n v="554423.34"/>
    <n v="4055163.75"/>
    <d v="2022-07-07T00:00:00"/>
    <m/>
    <m/>
  </r>
  <r>
    <x v="17"/>
    <n v="1486904010"/>
    <m/>
    <s v="Meknassi"/>
    <n v="28503557"/>
    <x v="1"/>
    <x v="1"/>
    <x v="0"/>
    <x v="0"/>
    <x v="0"/>
    <s v="Batterie"/>
    <s v="555726.94"/>
    <s v="3829242.78"/>
    <d v="2016-10-12T00:00:00"/>
    <m/>
    <m/>
  </r>
  <r>
    <x v="5"/>
    <n v="1489801580"/>
    <m/>
    <s v="Melah Gabès"/>
    <n v="28503223"/>
    <x v="2"/>
    <x v="2"/>
    <x v="0"/>
    <x v="0"/>
    <x v="1"/>
    <s v="RAS"/>
    <s v="592307.61"/>
    <s v="3762653.01"/>
    <d v="2018-02-02T00:00:00"/>
    <m/>
    <m/>
  </r>
  <r>
    <x v="3"/>
    <n v="1483600110"/>
    <m/>
    <s v="Melah Sidi Salem"/>
    <n v="28503567"/>
    <x v="2"/>
    <x v="2"/>
    <x v="0"/>
    <x v="1"/>
    <x v="1"/>
    <s v="Modem"/>
    <s v="548021.79"/>
    <s v="4106818.42"/>
    <d v="2018-03-02T00:00:00"/>
    <m/>
    <m/>
  </r>
  <r>
    <x v="12"/>
    <n v="1485101210"/>
    <m/>
    <s v="Mellegue K13"/>
    <n v="28503547"/>
    <x v="0"/>
    <x v="2"/>
    <x v="0"/>
    <x v="0"/>
    <x v="1"/>
    <s v="RAS"/>
    <s v="454598.03"/>
    <n v="3996944"/>
    <d v="2012-02-16T00:00:00"/>
    <m/>
    <m/>
  </r>
  <r>
    <x v="2"/>
    <n v="1485900140"/>
    <m/>
    <s v="MJZ-Pont el Mouradi"/>
    <n v="28220999"/>
    <x v="2"/>
    <x v="2"/>
    <x v="0"/>
    <x v="1"/>
    <x v="1"/>
    <s v="RAS"/>
    <s v="554187.86"/>
    <s v="4056108.94"/>
    <d v="2013-06-25T00:00:00"/>
    <m/>
    <m/>
  </r>
  <r>
    <x v="12"/>
    <n v="1485101209"/>
    <m/>
    <s v="MLG Frontière"/>
    <n v="28503481"/>
    <x v="0"/>
    <x v="0"/>
    <x v="0"/>
    <x v="0"/>
    <x v="0"/>
    <s v="Batterie"/>
    <n v="437428"/>
    <n v="3980066"/>
    <d v="2015-12-25T00:00:00"/>
    <m/>
    <m/>
  </r>
  <r>
    <x v="1"/>
    <n v="1483902060"/>
    <m/>
    <s v="Mlila Hammam Bourguiba"/>
    <n v="28503543"/>
    <x v="2"/>
    <x v="2"/>
    <x v="0"/>
    <x v="0"/>
    <x v="1"/>
    <s v="Modem"/>
    <s v="462512.79"/>
    <s v="4069612.46"/>
    <d v="2018-05-03T00:00:00"/>
    <m/>
    <m/>
  </r>
  <r>
    <x v="18"/>
    <n v="1487902313"/>
    <m/>
    <s v="MONASTIR"/>
    <n v="28503541"/>
    <x v="1"/>
    <x v="1"/>
    <x v="0"/>
    <x v="1"/>
    <x v="1"/>
    <s v="RAS"/>
    <s v="664177.14"/>
    <s v="3953856.21"/>
    <d v="2017-03-03T00:00:00"/>
    <m/>
    <m/>
  </r>
  <r>
    <x v="13"/>
    <n v="1484454623"/>
    <m/>
    <s v="Mornag CTV"/>
    <n v="28503539"/>
    <x v="1"/>
    <x v="1"/>
    <x v="0"/>
    <x v="1"/>
    <x v="1"/>
    <s v="RAS"/>
    <n v="615067"/>
    <n v="4060166"/>
    <d v="2016-09-09T00:00:00"/>
    <m/>
    <m/>
  </r>
  <r>
    <x v="6"/>
    <n v="1484901508"/>
    <m/>
    <s v="NABEUL"/>
    <n v="28503553"/>
    <x v="1"/>
    <x v="1"/>
    <x v="0"/>
    <x v="1"/>
    <x v="1"/>
    <s v="RAS"/>
    <s v="655785.28"/>
    <s v="4036311.44"/>
    <d v="2017-09-14T00:00:00"/>
    <m/>
    <m/>
  </r>
  <r>
    <x v="19"/>
    <n v="1484901907"/>
    <m/>
    <s v="Nadhour"/>
    <n v="28503554"/>
    <x v="1"/>
    <x v="1"/>
    <x v="0"/>
    <x v="0"/>
    <x v="1"/>
    <s v="Batterie"/>
    <s v="598462.61"/>
    <s v="3998159.99 "/>
    <d v="2017-09-13T00:00:00"/>
    <m/>
    <m/>
  </r>
  <r>
    <x v="17"/>
    <n v="1486300220"/>
    <m/>
    <s v="Naghadha"/>
    <n v="28503225"/>
    <x v="0"/>
    <x v="0"/>
    <x v="0"/>
    <x v="0"/>
    <x v="0"/>
    <s v="Batterie"/>
    <s v="544975.07"/>
    <s v="3898378.74 "/>
    <d v="2016-10-13T00:00:00"/>
    <m/>
    <m/>
  </r>
  <r>
    <x v="2"/>
    <n v="1483900202"/>
    <m/>
    <s v="Nefza"/>
    <n v="28220961"/>
    <x v="1"/>
    <x v="0"/>
    <x v="0"/>
    <x v="0"/>
    <x v="1"/>
    <s v="Batterie"/>
    <n v="507047"/>
    <n v="4092178"/>
    <d v="2016-09-05T00:00:00"/>
    <m/>
    <m/>
  </r>
  <r>
    <x v="5"/>
    <n v="1489120003"/>
    <m/>
    <s v="Oued Al Fard"/>
    <m/>
    <x v="2"/>
    <x v="2"/>
    <x v="0"/>
    <x v="0"/>
    <x v="1"/>
    <s v="Batterie"/>
    <n v="611973"/>
    <n v="3735029"/>
    <d v="2018-12-11T00:00:00"/>
    <m/>
    <m/>
  </r>
  <r>
    <x v="2"/>
    <n v="1485602240"/>
    <m/>
    <s v="Oued Beja"/>
    <n v="28220985"/>
    <x v="2"/>
    <x v="2"/>
    <x v="0"/>
    <x v="0"/>
    <x v="0"/>
    <s v="RAS"/>
    <s v="519962.11"/>
    <s v="4065631.93"/>
    <d v="2012-06-07T00:00:00"/>
    <m/>
    <m/>
  </r>
  <r>
    <x v="14"/>
    <n v="1485504559"/>
    <m/>
    <s v="Oued Bou Abdallah"/>
    <n v="28220971"/>
    <x v="2"/>
    <x v="2"/>
    <x v="0"/>
    <x v="0"/>
    <x v="1"/>
    <s v="RAS"/>
    <s v="542958.52"/>
    <s v="3979436.37"/>
    <d v="2017-02-02T00:00:00"/>
    <m/>
    <m/>
  </r>
  <r>
    <x v="17"/>
    <n v="1486300210"/>
    <m/>
    <s v="Oued Elfekka"/>
    <n v="28503499"/>
    <x v="2"/>
    <x v="2"/>
    <x v="0"/>
    <x v="0"/>
    <x v="0"/>
    <s v="Batterie"/>
    <s v="524572.23"/>
    <s v="3875281.01"/>
    <d v="2017-11-23T00:00:00"/>
    <m/>
    <m/>
  </r>
  <r>
    <x v="17"/>
    <n v="1488300150"/>
    <m/>
    <s v="Oued Leben"/>
    <n v="28503477"/>
    <x v="2"/>
    <x v="2"/>
    <x v="0"/>
    <x v="0"/>
    <x v="0"/>
    <s v="RAS"/>
    <s v="554845.72"/>
    <s v="3834710.77"/>
    <d v="2017-11-23T00:00:00"/>
    <m/>
    <m/>
  </r>
  <r>
    <x v="20"/>
    <n v="1489300101"/>
    <m/>
    <s v="Oued Om Zogar"/>
    <n v="28220989"/>
    <x v="2"/>
    <x v="2"/>
    <x v="0"/>
    <x v="0"/>
    <x v="0"/>
    <s v="Modem"/>
    <n v="646130"/>
    <n v="3557098"/>
    <d v="2018-04-18T00:00:00"/>
    <m/>
    <m/>
  </r>
  <r>
    <x v="20"/>
    <n v="1489300301"/>
    <m/>
    <s v="Oued Tataouine"/>
    <n v="28220972"/>
    <x v="2"/>
    <x v="0"/>
    <x v="0"/>
    <x v="0"/>
    <x v="0"/>
    <s v="Modem"/>
    <s v="636768.01"/>
    <s v="3647116.88"/>
    <d v="2018-05-03T00:00:00"/>
    <m/>
    <m/>
  </r>
  <r>
    <x v="5"/>
    <n v="1489803560"/>
    <m/>
    <s v="Oued Zigzaou"/>
    <n v="28220975"/>
    <x v="2"/>
    <x v="2"/>
    <x v="0"/>
    <x v="0"/>
    <x v="1"/>
    <s v="Batterie"/>
    <s v="621730.06"/>
    <s v="3717972.96"/>
    <d v="2018-02-01T00:00:00"/>
    <m/>
    <m/>
  </r>
  <r>
    <x v="7"/>
    <n v="1486000140"/>
    <m/>
    <s v="Pont Nebhana"/>
    <m/>
    <x v="2"/>
    <x v="2"/>
    <x v="0"/>
    <x v="0"/>
    <x v="1"/>
    <s v="Batterie"/>
    <n v="573925"/>
    <n v="3988891"/>
    <d v="2023-03-22T00:00:00"/>
    <m/>
    <m/>
  </r>
  <r>
    <x v="7"/>
    <n v="1486000150"/>
    <m/>
    <s v="Pont Romain Nebhana"/>
    <m/>
    <x v="2"/>
    <x v="2"/>
    <x v="0"/>
    <x v="0"/>
    <x v="1"/>
    <s v="RAS"/>
    <n v="593659"/>
    <n v="3984625"/>
    <d v="2023-03-08T00:00:00"/>
    <m/>
    <m/>
  </r>
  <r>
    <x v="19"/>
    <n v="1484800540"/>
    <m/>
    <s v="PT NOIR SBAYHIA"/>
    <n v="28503552"/>
    <x v="2"/>
    <x v="2"/>
    <x v="0"/>
    <x v="0"/>
    <x v="1"/>
    <s v="Radar"/>
    <s v="608578.47"/>
    <s v="4029622.32"/>
    <d v="2013-06-17T00:00:00"/>
    <m/>
    <m/>
  </r>
  <r>
    <x v="12"/>
    <n v="1485104380"/>
    <m/>
    <s v="PT ROUTE RMEL"/>
    <n v="28220981"/>
    <x v="2"/>
    <x v="2"/>
    <x v="0"/>
    <x v="0"/>
    <x v="1"/>
    <s v="Modem"/>
    <s v="467494.73"/>
    <s v="3996873.14"/>
    <d v="2012-01-17T00:00:00"/>
    <m/>
    <m/>
  </r>
  <r>
    <x v="12"/>
    <n v="1485100506"/>
    <m/>
    <s v="PT RTE SARRAT"/>
    <n v="28503412"/>
    <x v="0"/>
    <x v="2"/>
    <x v="0"/>
    <x v="0"/>
    <x v="1"/>
    <s v="RAS"/>
    <n v="460836"/>
    <n v="3962626"/>
    <d v="2012-03-19T00:00:00"/>
    <m/>
    <m/>
  </r>
  <r>
    <x v="10"/>
    <n v="1485900188"/>
    <m/>
    <s v="PT-BIZERTE"/>
    <n v="28503572"/>
    <x v="2"/>
    <x v="2"/>
    <x v="0"/>
    <x v="1"/>
    <x v="1"/>
    <s v="RAS"/>
    <s v="593997.46"/>
    <s v="4095443.72"/>
    <d v="2011-10-25T00:00:00"/>
    <m/>
    <m/>
  </r>
  <r>
    <x v="1"/>
    <n v="1485001160"/>
    <m/>
    <s v="Raghai Plaine"/>
    <n v="28503562"/>
    <x v="2"/>
    <x v="0"/>
    <x v="0"/>
    <x v="1"/>
    <x v="1"/>
    <s v="RAS"/>
    <s v="459024.73"/>
    <s v="4037832.90 "/>
    <s v="05//09/2016"/>
    <m/>
    <m/>
  </r>
  <r>
    <x v="21"/>
    <n v="1484951606"/>
    <m/>
    <s v="Saida Manoubia"/>
    <n v="28503636"/>
    <x v="1"/>
    <x v="1"/>
    <x v="0"/>
    <x v="1"/>
    <x v="1"/>
    <s v="RAS"/>
    <s v="604656.93 "/>
    <s v="4071397.1"/>
    <d v="2016-07-27T00:00:00"/>
    <m/>
    <m/>
  </r>
  <r>
    <x v="0"/>
    <n v="1486941009"/>
    <m/>
    <s v="Sbeitla"/>
    <n v="28503560"/>
    <x v="1"/>
    <x v="1"/>
    <x v="0"/>
    <x v="1"/>
    <x v="1"/>
    <s v="RAS"/>
    <s v="511067.02"/>
    <s v="3898326.15"/>
    <d v="2016-12-02T00:00:00"/>
    <m/>
    <m/>
  </r>
  <r>
    <x v="21"/>
    <n v="1484109850"/>
    <m/>
    <s v="Sejoumi SBKT"/>
    <n v="28503584"/>
    <x v="2"/>
    <x v="0"/>
    <x v="0"/>
    <x v="0"/>
    <x v="0"/>
    <s v="RAS"/>
    <s v="604089.14"/>
    <s v="4069732.47"/>
    <d v="2016-12-26T00:00:00"/>
    <m/>
    <m/>
  </r>
  <r>
    <x v="22"/>
    <n v="1487904215"/>
    <m/>
    <s v="SFAX"/>
    <n v="28503430"/>
    <x v="1"/>
    <x v="1"/>
    <x v="0"/>
    <x v="0"/>
    <x v="0"/>
    <s v="Batterie"/>
    <s v="660950.66 "/>
    <s v="3844480.83"/>
    <d v="2017-03-10T00:00:00"/>
    <m/>
    <m/>
  </r>
  <r>
    <x v="14"/>
    <n v="1485625024"/>
    <m/>
    <s v="Sidi Bourouis Agricole"/>
    <n v="28503588"/>
    <x v="1"/>
    <x v="1"/>
    <x v="0"/>
    <x v="0"/>
    <x v="0"/>
    <s v="Batterie"/>
    <s v="506651.4"/>
    <s v="4008184.58"/>
    <d v="2016-09-22T00:00:00"/>
    <m/>
    <m/>
  </r>
  <r>
    <x v="17"/>
    <n v="1486929710"/>
    <m/>
    <s v="Sidi Bouzid P"/>
    <n v="28503565"/>
    <x v="1"/>
    <x v="1"/>
    <x v="0"/>
    <x v="0"/>
    <x v="0"/>
    <s v="DUOSENS "/>
    <s v="545189.85"/>
    <s v="3875833.76"/>
    <d v="2016-10-11T00:00:00"/>
    <m/>
    <m/>
  </r>
  <r>
    <x v="2"/>
    <n v="1485400190"/>
    <m/>
    <s v="Sidi Ismail"/>
    <m/>
    <x v="2"/>
    <x v="2"/>
    <x v="0"/>
    <x v="1"/>
    <x v="1"/>
    <s v="RAS"/>
    <s v="509783.625"/>
    <s v="4050700.25"/>
    <d v="2019-06-21T00:00:00"/>
    <m/>
    <m/>
  </r>
  <r>
    <x v="12"/>
    <n v="1485201355"/>
    <m/>
    <s v="Sidi Medien"/>
    <m/>
    <x v="0"/>
    <x v="0"/>
    <x v="0"/>
    <x v="0"/>
    <x v="1"/>
    <s v="Batterie+Sonde"/>
    <s v="495570.88"/>
    <s v="4017708.07"/>
    <d v="2012-07-24T00:00:00"/>
    <m/>
    <m/>
  </r>
  <r>
    <x v="10"/>
    <n v="1485667322"/>
    <m/>
    <s v="Sidi Thabet"/>
    <n v="28220977"/>
    <x v="1"/>
    <x v="1"/>
    <x v="0"/>
    <x v="1"/>
    <x v="1"/>
    <s v="RAS"/>
    <s v="593041.06"/>
    <s v="4085402.95"/>
    <d v="2016-09-08T00:00:00"/>
    <m/>
    <m/>
  </r>
  <r>
    <x v="14"/>
    <n v="1485676424"/>
    <m/>
    <s v="Siliana Agricole"/>
    <n v="28220965"/>
    <x v="1"/>
    <x v="1"/>
    <x v="0"/>
    <x v="0"/>
    <x v="1"/>
    <s v="Batterie"/>
    <n v="538958"/>
    <s v="3984861.74 "/>
    <d v="2016-09-22T00:00:00"/>
    <m/>
    <m/>
  </r>
  <r>
    <x v="2"/>
    <n v="1485501635"/>
    <m/>
    <s v="SILIANA LAOUJ"/>
    <n v="28503591"/>
    <x v="0"/>
    <x v="0"/>
    <x v="0"/>
    <x v="0"/>
    <x v="1"/>
    <s v="Batterie"/>
    <s v="540942.95"/>
    <s v="4036958.04 "/>
    <d v="2012-09-21T00:00:00"/>
    <m/>
    <m/>
  </r>
  <r>
    <x v="14"/>
    <n v="1485501610"/>
    <m/>
    <s v="Siliana pt rte"/>
    <n v="28503515"/>
    <x v="2"/>
    <x v="2"/>
    <x v="0"/>
    <x v="0"/>
    <x v="1"/>
    <s v="RAS"/>
    <s v="535230.77"/>
    <s v="3992432.06 "/>
    <d v="2013-06-18T00:00:00"/>
    <m/>
    <m/>
  </r>
  <r>
    <x v="22"/>
    <n v="1487980015"/>
    <m/>
    <s v="SKHIRA"/>
    <n v="28503585"/>
    <x v="1"/>
    <x v="1"/>
    <x v="0"/>
    <x v="0"/>
    <x v="0"/>
    <s v="Batterie"/>
    <s v="596665.87"/>
    <s v="3791610.47"/>
    <d v="2017-03-10T00:00:00"/>
    <m/>
    <m/>
  </r>
  <r>
    <x v="7"/>
    <n v="1486100340"/>
    <m/>
    <s v="Skhira kef Labiedh"/>
    <n v="28503584"/>
    <x v="0"/>
    <x v="0"/>
    <x v="0"/>
    <x v="0"/>
    <x v="1"/>
    <s v="Vendalisée"/>
    <s v="550977.36"/>
    <s v="3955437.40"/>
    <d v="2013-11-08T00:00:00"/>
    <m/>
    <m/>
  </r>
  <r>
    <x v="2"/>
    <n v="1485900130"/>
    <m/>
    <s v="Slouguia"/>
    <n v="28503537"/>
    <x v="0"/>
    <x v="0"/>
    <x v="0"/>
    <x v="1"/>
    <x v="1"/>
    <s v="RAS"/>
    <s v="546325.35"/>
    <s v="4049324.39 "/>
    <d v="2011-10-26T00:00:00"/>
    <m/>
    <m/>
  </r>
  <r>
    <x v="9"/>
    <n v="1488904716"/>
    <m/>
    <s v="Sned"/>
    <n v="28220990"/>
    <x v="1"/>
    <x v="1"/>
    <x v="0"/>
    <x v="0"/>
    <x v="0"/>
    <s v="Batterie"/>
    <s v="523001.71"/>
    <s v="3821691.57"/>
    <d v="2017-11-01T00:00:00"/>
    <m/>
    <m/>
  </r>
  <r>
    <x v="15"/>
    <n v="1487997514"/>
    <m/>
    <s v="SOUASSI"/>
    <n v="28503520"/>
    <x v="1"/>
    <x v="1"/>
    <x v="0"/>
    <x v="0"/>
    <x v="1"/>
    <s v="Modem"/>
    <s v="640413.82 "/>
    <s v="3912623.27"/>
    <d v="2017-03-03T00:00:00"/>
    <m/>
    <m/>
  </r>
  <r>
    <x v="10"/>
    <n v="1484705412"/>
    <m/>
    <s v="Soukra"/>
    <n v="28503424"/>
    <x v="1"/>
    <x v="1"/>
    <x v="0"/>
    <x v="1"/>
    <x v="1"/>
    <s v="RAS"/>
    <n v="607473"/>
    <n v="4079914"/>
    <d v="2016-09-08T00:00:00"/>
    <m/>
    <m/>
  </r>
  <r>
    <x v="8"/>
    <n v="1487907212"/>
    <m/>
    <s v="SOUSSE"/>
    <n v="28503635"/>
    <x v="1"/>
    <x v="1"/>
    <x v="0"/>
    <x v="1"/>
    <x v="1"/>
    <s v="RAS"/>
    <s v="647788.23"/>
    <s v="3964406.20"/>
    <d v="2017-03-09T00:00:00"/>
    <m/>
    <m/>
  </r>
  <r>
    <x v="1"/>
    <n v="1483926801"/>
    <m/>
    <s v="Tabarka"/>
    <n v="28220963"/>
    <x v="1"/>
    <x v="1"/>
    <x v="0"/>
    <x v="0"/>
    <x v="1"/>
    <s v="Batterie"/>
    <s v="478547.95"/>
    <s v="4089381.95"/>
    <d v="2014-06-20T00:00:00"/>
    <m/>
    <m/>
  </r>
  <r>
    <x v="23"/>
    <n v="1488905517"/>
    <m/>
    <s v="TAMAGHZA"/>
    <n v="28503637"/>
    <x v="1"/>
    <x v="1"/>
    <x v="0"/>
    <x v="0"/>
    <x v="0"/>
    <s v="Batterie"/>
    <s v="401969.21"/>
    <s v="3805504.78"/>
    <d v="2017-10-27T00:00:00"/>
    <m/>
    <m/>
  </r>
  <r>
    <x v="20"/>
    <n v="1489944721"/>
    <m/>
    <s v="TATAOUINE"/>
    <n v="28220992"/>
    <x v="1"/>
    <x v="1"/>
    <x v="0"/>
    <x v="0"/>
    <x v="0"/>
    <s v="Modem"/>
    <s v="636548.29"/>
    <s v="3651503.87"/>
    <d v="2017-07-07T00:00:00"/>
    <m/>
    <m/>
  </r>
  <r>
    <x v="19"/>
    <n v="1484100110"/>
    <m/>
    <s v="TB MAJUS"/>
    <n v="28220964"/>
    <x v="2"/>
    <x v="2"/>
    <x v="0"/>
    <x v="1"/>
    <x v="1"/>
    <s v="RAS"/>
    <s v="581667.63"/>
    <s v="4028058.18"/>
    <d v="2010-03-14T00:00:00"/>
    <m/>
    <m/>
  </r>
  <r>
    <x v="12"/>
    <n v="1485201356"/>
    <m/>
    <s v="Tessa Pt Rte"/>
    <n v="28503411"/>
    <x v="2"/>
    <x v="2"/>
    <x v="0"/>
    <x v="0"/>
    <x v="1"/>
    <s v="RAS"/>
    <s v="497612.04"/>
    <s v="4015275.81"/>
    <d v="2012-07-24T00:00:00"/>
    <m/>
    <m/>
  </r>
  <r>
    <x v="3"/>
    <n v="1483602040"/>
    <m/>
    <s v="Tine Amont"/>
    <n v="28220994"/>
    <x v="2"/>
    <x v="0"/>
    <x v="0"/>
    <x v="0"/>
    <x v="1"/>
    <s v="Sonde"/>
    <s v="559720.31"/>
    <s v="4081670.37"/>
    <d v="2011-12-06T00:00:00"/>
    <m/>
    <m/>
  </r>
  <r>
    <x v="23"/>
    <n v="1488977717"/>
    <m/>
    <s v="TOZEUR"/>
    <n v="28220986"/>
    <x v="1"/>
    <x v="1"/>
    <x v="0"/>
    <x v="0"/>
    <x v="0"/>
    <s v="Batterie"/>
    <s v="417921.24"/>
    <s v="3753743.24"/>
    <d v="2017-10-27T00:00:00"/>
    <m/>
    <m/>
  </r>
  <r>
    <x v="19"/>
    <n v="1484901707"/>
    <m/>
    <s v="ZAGHOUAN"/>
    <n v="28503429"/>
    <x v="1"/>
    <x v="1"/>
    <x v="0"/>
    <x v="1"/>
    <x v="1"/>
    <s v="RAS"/>
    <s v="603105.08"/>
    <s v="4029815.85 "/>
    <d v="2017-09-13T00:00:00"/>
    <m/>
    <m/>
  </r>
  <r>
    <x v="18"/>
    <n v="1487923213"/>
    <m/>
    <s v="ZAREMDIN"/>
    <n v="28220976"/>
    <x v="1"/>
    <x v="1"/>
    <x v="0"/>
    <x v="1"/>
    <x v="1"/>
    <s v="RAS"/>
    <s v="657429.29"/>
    <s v="3938518.16"/>
    <d v="2017-03-03T00:00:00"/>
    <m/>
    <m/>
  </r>
  <r>
    <x v="16"/>
    <n v="1489917619"/>
    <m/>
    <s v="ZARZIS"/>
    <n v="28503491"/>
    <x v="1"/>
    <x v="1"/>
    <x v="0"/>
    <x v="0"/>
    <x v="0"/>
    <s v="Batterie"/>
    <s v="696842.71"/>
    <s v="3708465.83"/>
    <d v="2017-07-07T00:00:00"/>
    <m/>
    <m/>
  </r>
  <r>
    <x v="12"/>
    <n v="1485827223"/>
    <m/>
    <s v="Zwarine Garre"/>
    <n v="28220970"/>
    <x v="1"/>
    <x v="1"/>
    <x v="0"/>
    <x v="0"/>
    <x v="1"/>
    <s v="Batterie"/>
    <s v="491008.87"/>
    <s v="3986285.50 "/>
    <d v="2016-09-07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3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6">
  <location ref="A34:C38" firstHeaderRow="1" firstDataRow="2" firstDataCol="1"/>
  <pivotFields count="16">
    <pivotField showAll="0">
      <items count="25">
        <item x="10"/>
        <item x="2"/>
        <item x="13"/>
        <item x="3"/>
        <item x="5"/>
        <item x="9"/>
        <item x="1"/>
        <item x="7"/>
        <item x="0"/>
        <item x="11"/>
        <item x="12"/>
        <item x="15"/>
        <item x="4"/>
        <item x="16"/>
        <item x="18"/>
        <item x="6"/>
        <item x="22"/>
        <item x="17"/>
        <item x="14"/>
        <item x="8"/>
        <item x="20"/>
        <item x="23"/>
        <item x="21"/>
        <item x="19"/>
        <item t="default"/>
      </items>
    </pivotField>
    <pivotField showAll="0"/>
    <pivotField showAll="0"/>
    <pivotField showAll="0"/>
    <pivotField showAll="0"/>
    <pivotField showAll="0">
      <items count="4">
        <item sd="0" x="2"/>
        <item sd="0" x="0"/>
        <item sd="0" x="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Col" dataField="1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7"/>
  </colFields>
  <colItems count="2">
    <i>
      <x/>
    </i>
    <i t="grand">
      <x/>
    </i>
  </colItems>
  <dataFields count="1">
    <dataField name="Somme de Nombre" fld="7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5">
  <location ref="A50:C55" firstHeaderRow="1" firstDataRow="2" firstDataCol="1"/>
  <pivotFields count="16">
    <pivotField showAll="0">
      <items count="25">
        <item x="10"/>
        <item x="2"/>
        <item x="13"/>
        <item x="3"/>
        <item x="5"/>
        <item x="9"/>
        <item x="1"/>
        <item x="7"/>
        <item x="0"/>
        <item x="11"/>
        <item x="12"/>
        <item x="15"/>
        <item x="4"/>
        <item x="16"/>
        <item x="18"/>
        <item x="6"/>
        <item x="22"/>
        <item x="17"/>
        <item x="14"/>
        <item x="8"/>
        <item x="20"/>
        <item x="23"/>
        <item x="21"/>
        <item x="19"/>
        <item t="default"/>
      </items>
    </pivotField>
    <pivotField showAll="0"/>
    <pivotField showAll="0"/>
    <pivotField showAll="0"/>
    <pivotField showAll="0"/>
    <pivotField axis="axisRow" showAll="0">
      <items count="4">
        <item sd="0" x="2"/>
        <item sd="0" x="0"/>
        <item sd="0" x="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Col" dataField="1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7"/>
  </colFields>
  <colItems count="2">
    <i>
      <x/>
    </i>
    <i t="grand">
      <x/>
    </i>
  </colItems>
  <dataFields count="1">
    <dataField name="Somme de Nombre" fld="7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4">
  <location ref="A41:C47" firstHeaderRow="1" firstDataRow="2" firstDataCol="1"/>
  <pivotFields count="16">
    <pivotField showAll="0">
      <items count="25">
        <item x="10"/>
        <item x="2"/>
        <item x="13"/>
        <item x="3"/>
        <item x="5"/>
        <item x="9"/>
        <item x="1"/>
        <item x="7"/>
        <item x="0"/>
        <item x="11"/>
        <item x="12"/>
        <item x="15"/>
        <item x="4"/>
        <item x="16"/>
        <item x="18"/>
        <item x="6"/>
        <item x="22"/>
        <item x="17"/>
        <item x="14"/>
        <item x="8"/>
        <item x="20"/>
        <item x="23"/>
        <item x="21"/>
        <item x="19"/>
        <item t="default"/>
      </items>
    </pivotField>
    <pivotField showAll="0"/>
    <pivotField showAll="0"/>
    <pivotField showAll="0"/>
    <pivotField showAll="0"/>
    <pivotField showAll="0">
      <items count="4">
        <item sd="0" x="2"/>
        <item sd="0" x="0"/>
        <item sd="0" x="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Col" dataField="1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2">
    <i>
      <x/>
    </i>
    <i t="grand">
      <x/>
    </i>
  </colItems>
  <dataFields count="1">
    <dataField name="Somme de Nombre" fld="7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8">
  <location ref="B15:D19" firstHeaderRow="1" firstDataRow="2" firstDataCol="1"/>
  <pivotFields count="16">
    <pivotField showAll="0">
      <items count="25">
        <item x="10"/>
        <item x="2"/>
        <item x="13"/>
        <item x="3"/>
        <item x="5"/>
        <item x="9"/>
        <item x="1"/>
        <item x="7"/>
        <item x="0"/>
        <item x="11"/>
        <item x="12"/>
        <item x="15"/>
        <item x="4"/>
        <item x="16"/>
        <item x="18"/>
        <item x="6"/>
        <item x="22"/>
        <item x="17"/>
        <item x="14"/>
        <item x="8"/>
        <item x="20"/>
        <item x="23"/>
        <item x="21"/>
        <item x="19"/>
        <item t="default"/>
      </items>
    </pivotField>
    <pivotField showAll="0"/>
    <pivotField showAll="0"/>
    <pivotField showAll="0"/>
    <pivotField showAll="0"/>
    <pivotField showAll="0">
      <items count="4">
        <item sd="0" x="2"/>
        <item sd="0" x="0"/>
        <item sd="0" x="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Col" dataField="1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7"/>
  </colFields>
  <colItems count="2">
    <i>
      <x/>
    </i>
    <i t="grand">
      <x/>
    </i>
  </colItems>
  <dataFields count="1">
    <dataField name="Somme de Nombre" fld="7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4" displayName="Tableau4" ref="B13:Q115" totalsRowShown="0" headerRowDxfId="17" dataDxfId="16">
  <autoFilter ref="B13:Q115">
    <filterColumn colId="0"/>
    <filterColumn colId="2"/>
    <filterColumn colId="6"/>
    <filterColumn colId="8"/>
    <filterColumn colId="13"/>
    <filterColumn colId="14"/>
    <filterColumn colId="15"/>
  </autoFilter>
  <sortState ref="B14:Q115">
    <sortCondition ref="E115"/>
  </sortState>
  <tableColumns count="16">
    <tableColumn id="11" name="Gouvernorat" dataDxfId="15"/>
    <tableColumn id="1" name="Code Station" dataDxfId="14"/>
    <tableColumn id="16" name="Colonne1" dataDxfId="13"/>
    <tableColumn id="2" name="Nom de la station" dataDxfId="12"/>
    <tableColumn id="3" name="N° d'appel" dataDxfId="11"/>
    <tableColumn id="4" name="Type" dataDxfId="10"/>
    <tableColumn id="13" name="Type capteur" dataDxfId="9"/>
    <tableColumn id="5" name="Nombre" dataDxfId="8"/>
    <tableColumn id="6" name="Etat" dataDxfId="7"/>
    <tableColumn id="7" name="Mode de transmission" dataDxfId="6"/>
    <tableColumn id="8" name="Observation " dataDxfId="5"/>
    <tableColumn id="9" name="x" dataDxfId="4"/>
    <tableColumn id="10" name="y" dataDxfId="3"/>
    <tableColumn id="12" name="Date débit" dataDxfId="2"/>
    <tableColumn id="14" name="intervention" dataDxfId="1"/>
    <tableColumn id="15" name="date de l'interven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55"/>
  <sheetViews>
    <sheetView tabSelected="1" workbookViewId="0">
      <selection activeCell="A43" sqref="A43:B46"/>
    </sheetView>
  </sheetViews>
  <sheetFormatPr baseColWidth="10" defaultRowHeight="15"/>
  <cols>
    <col min="1" max="1" width="21" customWidth="1"/>
    <col min="2" max="2" width="23.85546875" customWidth="1"/>
    <col min="3" max="3" width="12.5703125" bestFit="1" customWidth="1"/>
    <col min="5" max="5" width="21" customWidth="1"/>
    <col min="6" max="6" width="23.85546875" bestFit="1" customWidth="1"/>
    <col min="7" max="7" width="12.5703125" bestFit="1" customWidth="1"/>
  </cols>
  <sheetData>
    <row r="34" spans="1:3">
      <c r="A34" s="64" t="s">
        <v>348</v>
      </c>
      <c r="B34" s="64" t="s">
        <v>349</v>
      </c>
    </row>
    <row r="35" spans="1:3">
      <c r="A35" s="64" t="s">
        <v>346</v>
      </c>
      <c r="B35">
        <v>1</v>
      </c>
      <c r="C35" t="s">
        <v>347</v>
      </c>
    </row>
    <row r="36" spans="1:3">
      <c r="A36" s="65" t="s">
        <v>31</v>
      </c>
      <c r="B36" s="66">
        <v>78</v>
      </c>
      <c r="C36" s="66">
        <v>78</v>
      </c>
    </row>
    <row r="37" spans="1:3">
      <c r="A37" s="65" t="s">
        <v>23</v>
      </c>
      <c r="B37" s="66">
        <v>24</v>
      </c>
      <c r="C37" s="66">
        <v>24</v>
      </c>
    </row>
    <row r="38" spans="1:3">
      <c r="A38" s="65" t="s">
        <v>347</v>
      </c>
      <c r="B38" s="66">
        <v>102</v>
      </c>
      <c r="C38" s="66">
        <v>102</v>
      </c>
    </row>
    <row r="41" spans="1:3">
      <c r="A41" s="64" t="s">
        <v>348</v>
      </c>
      <c r="B41" s="64" t="s">
        <v>349</v>
      </c>
    </row>
    <row r="42" spans="1:3">
      <c r="A42" s="64" t="s">
        <v>346</v>
      </c>
      <c r="B42">
        <v>1</v>
      </c>
      <c r="C42" t="s">
        <v>347</v>
      </c>
    </row>
    <row r="43" spans="1:3">
      <c r="A43" s="65" t="s">
        <v>30</v>
      </c>
      <c r="B43" s="66">
        <v>44</v>
      </c>
      <c r="C43" s="66">
        <v>44</v>
      </c>
    </row>
    <row r="44" spans="1:3">
      <c r="A44" s="65" t="s">
        <v>38</v>
      </c>
      <c r="B44" s="66">
        <v>35</v>
      </c>
      <c r="C44" s="66">
        <v>35</v>
      </c>
    </row>
    <row r="45" spans="1:3">
      <c r="A45" s="65" t="s">
        <v>58</v>
      </c>
      <c r="B45" s="66">
        <v>2</v>
      </c>
      <c r="C45" s="66">
        <v>2</v>
      </c>
    </row>
    <row r="46" spans="1:3">
      <c r="A46" s="65" t="s">
        <v>21</v>
      </c>
      <c r="B46" s="66">
        <v>21</v>
      </c>
      <c r="C46" s="66">
        <v>21</v>
      </c>
    </row>
    <row r="47" spans="1:3">
      <c r="A47" s="65" t="s">
        <v>347</v>
      </c>
      <c r="B47" s="66">
        <v>102</v>
      </c>
      <c r="C47" s="66">
        <v>102</v>
      </c>
    </row>
    <row r="50" spans="1:3">
      <c r="A50" s="64" t="s">
        <v>348</v>
      </c>
      <c r="B50" s="64" t="s">
        <v>349</v>
      </c>
    </row>
    <row r="51" spans="1:3">
      <c r="A51" s="64" t="s">
        <v>346</v>
      </c>
      <c r="B51">
        <v>1</v>
      </c>
      <c r="C51" t="s">
        <v>347</v>
      </c>
    </row>
    <row r="52" spans="1:3">
      <c r="A52" s="65" t="s">
        <v>57</v>
      </c>
      <c r="B52" s="66">
        <v>38</v>
      </c>
      <c r="C52" s="66">
        <v>38</v>
      </c>
    </row>
    <row r="53" spans="1:3">
      <c r="A53" s="65" t="s">
        <v>20</v>
      </c>
      <c r="B53" s="66">
        <v>18</v>
      </c>
      <c r="C53" s="66">
        <v>18</v>
      </c>
    </row>
    <row r="54" spans="1:3">
      <c r="A54" s="65" t="s">
        <v>29</v>
      </c>
      <c r="B54" s="66">
        <v>46</v>
      </c>
      <c r="C54" s="66">
        <v>46</v>
      </c>
    </row>
    <row r="55" spans="1:3">
      <c r="A55" s="65" t="s">
        <v>347</v>
      </c>
      <c r="B55" s="66">
        <v>102</v>
      </c>
      <c r="C55" s="66">
        <v>102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B15:D19"/>
  <sheetViews>
    <sheetView workbookViewId="0">
      <selection activeCell="D15" sqref="D15"/>
    </sheetView>
  </sheetViews>
  <sheetFormatPr baseColWidth="10" defaultRowHeight="15"/>
  <cols>
    <col min="4" max="4" width="19.5703125" customWidth="1"/>
  </cols>
  <sheetData>
    <row r="15" spans="2:4">
      <c r="B15" s="64" t="s">
        <v>348</v>
      </c>
      <c r="C15" s="64" t="s">
        <v>349</v>
      </c>
    </row>
    <row r="16" spans="2:4">
      <c r="B16" s="64" t="s">
        <v>346</v>
      </c>
      <c r="C16">
        <v>1</v>
      </c>
      <c r="D16" t="s">
        <v>347</v>
      </c>
    </row>
    <row r="17" spans="2:4">
      <c r="B17" s="65" t="s">
        <v>22</v>
      </c>
      <c r="C17" s="66">
        <v>63</v>
      </c>
      <c r="D17" s="66">
        <v>63</v>
      </c>
    </row>
    <row r="18" spans="2:4">
      <c r="B18" s="65" t="s">
        <v>39</v>
      </c>
      <c r="C18" s="66">
        <v>39</v>
      </c>
      <c r="D18" s="66">
        <v>39</v>
      </c>
    </row>
    <row r="19" spans="2:4">
      <c r="B19" s="65" t="s">
        <v>347</v>
      </c>
      <c r="C19" s="66">
        <v>102</v>
      </c>
      <c r="D19" s="66">
        <v>102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0:Q115"/>
  <sheetViews>
    <sheetView topLeftCell="B13" zoomScale="106" zoomScaleNormal="106" zoomScaleSheetLayoutView="100" zoomScalePageLayoutView="90" workbookViewId="0">
      <selection activeCell="B13" sqref="B13:O13"/>
    </sheetView>
  </sheetViews>
  <sheetFormatPr baseColWidth="10" defaultRowHeight="15"/>
  <cols>
    <col min="1" max="1" width="15.85546875" hidden="1" customWidth="1"/>
    <col min="2" max="2" width="13.7109375" style="1" customWidth="1"/>
    <col min="3" max="4" width="15.140625" customWidth="1"/>
    <col min="5" max="5" width="22.5703125" style="1" customWidth="1"/>
    <col min="6" max="6" width="15.7109375" customWidth="1"/>
    <col min="7" max="8" width="20.140625" customWidth="1"/>
    <col min="9" max="9" width="6.85546875" customWidth="1"/>
    <col min="10" max="10" width="16.140625" customWidth="1"/>
    <col min="11" max="11" width="35" customWidth="1"/>
    <col min="12" max="13" width="11.42578125" customWidth="1"/>
    <col min="14" max="14" width="13.28515625" customWidth="1"/>
  </cols>
  <sheetData>
    <row r="10" spans="2:17" ht="18.75">
      <c r="I10" s="2" t="s">
        <v>0</v>
      </c>
      <c r="J10" s="2"/>
      <c r="L10" t="s">
        <v>1</v>
      </c>
    </row>
    <row r="11" spans="2:17" ht="18.75">
      <c r="I11" s="2" t="s">
        <v>2</v>
      </c>
      <c r="J11" s="5">
        <v>46114</v>
      </c>
    </row>
    <row r="13" spans="2:17" s="3" customFormat="1" ht="31.5">
      <c r="B13" s="33" t="s">
        <v>3</v>
      </c>
      <c r="C13" s="34" t="s">
        <v>4</v>
      </c>
      <c r="D13" s="34" t="s">
        <v>345</v>
      </c>
      <c r="E13" s="35" t="s">
        <v>5</v>
      </c>
      <c r="F13" s="34" t="s">
        <v>6</v>
      </c>
      <c r="G13" s="35" t="s">
        <v>7</v>
      </c>
      <c r="H13" s="35" t="s">
        <v>8</v>
      </c>
      <c r="I13" s="35" t="s">
        <v>9</v>
      </c>
      <c r="J13" s="35" t="s">
        <v>10</v>
      </c>
      <c r="K13" s="35" t="s">
        <v>11</v>
      </c>
      <c r="L13" s="36" t="s">
        <v>12</v>
      </c>
      <c r="M13" s="37" t="s">
        <v>13</v>
      </c>
      <c r="N13" s="37" t="s">
        <v>14</v>
      </c>
      <c r="O13" s="33" t="s">
        <v>15</v>
      </c>
      <c r="P13" s="38" t="s">
        <v>16</v>
      </c>
      <c r="Q13" s="38" t="s">
        <v>17</v>
      </c>
    </row>
    <row r="14" spans="2:17" ht="45">
      <c r="B14" s="6" t="s">
        <v>18</v>
      </c>
      <c r="C14" s="7">
        <v>1486200110</v>
      </c>
      <c r="D14" s="7"/>
      <c r="E14" s="8" t="s">
        <v>19</v>
      </c>
      <c r="F14" s="7">
        <v>28503480</v>
      </c>
      <c r="G14" s="8" t="s">
        <v>20</v>
      </c>
      <c r="H14" s="9" t="s">
        <v>21</v>
      </c>
      <c r="I14" s="8">
        <v>1</v>
      </c>
      <c r="J14" s="8" t="s">
        <v>22</v>
      </c>
      <c r="K14" s="8" t="s">
        <v>23</v>
      </c>
      <c r="L14" s="10" t="s">
        <v>24</v>
      </c>
      <c r="M14" s="11" t="s">
        <v>25</v>
      </c>
      <c r="N14" s="11" t="s">
        <v>26</v>
      </c>
      <c r="O14" s="12">
        <v>42717</v>
      </c>
      <c r="P14" s="13"/>
      <c r="Q14" s="13"/>
    </row>
    <row r="15" spans="2:17">
      <c r="B15" s="6" t="s">
        <v>27</v>
      </c>
      <c r="C15" s="7">
        <v>1483918801</v>
      </c>
      <c r="D15" s="7"/>
      <c r="E15" s="8" t="s">
        <v>28</v>
      </c>
      <c r="F15" s="7">
        <v>28503622</v>
      </c>
      <c r="G15" s="8" t="s">
        <v>29</v>
      </c>
      <c r="H15" s="14" t="s">
        <v>30</v>
      </c>
      <c r="I15" s="8">
        <v>1</v>
      </c>
      <c r="J15" s="8" t="s">
        <v>22</v>
      </c>
      <c r="K15" s="8" t="s">
        <v>31</v>
      </c>
      <c r="L15" s="15" t="s">
        <v>32</v>
      </c>
      <c r="M15" s="11" t="s">
        <v>33</v>
      </c>
      <c r="N15" s="11" t="s">
        <v>34</v>
      </c>
      <c r="O15" s="12">
        <v>42619</v>
      </c>
      <c r="P15" s="13" t="s">
        <v>35</v>
      </c>
      <c r="Q15" s="13"/>
    </row>
    <row r="16" spans="2:17" s="4" customFormat="1">
      <c r="B16" s="6" t="s">
        <v>36</v>
      </c>
      <c r="C16" s="39">
        <v>1485082302</v>
      </c>
      <c r="D16" s="39"/>
      <c r="E16" s="40" t="s">
        <v>37</v>
      </c>
      <c r="F16" s="41">
        <v>28503630</v>
      </c>
      <c r="G16" s="40" t="s">
        <v>29</v>
      </c>
      <c r="H16" s="42" t="s">
        <v>38</v>
      </c>
      <c r="I16" s="43">
        <v>1</v>
      </c>
      <c r="J16" s="44" t="s">
        <v>39</v>
      </c>
      <c r="K16" s="44" t="s">
        <v>31</v>
      </c>
      <c r="L16" s="45" t="s">
        <v>40</v>
      </c>
      <c r="M16" s="39" t="s">
        <v>41</v>
      </c>
      <c r="N16" s="39" t="s">
        <v>42</v>
      </c>
      <c r="O16" s="46">
        <v>43109</v>
      </c>
      <c r="P16" s="13"/>
      <c r="Q16" s="13"/>
    </row>
    <row r="17" spans="2:17">
      <c r="B17" s="6" t="s">
        <v>43</v>
      </c>
      <c r="C17" s="47">
        <v>1483948405</v>
      </c>
      <c r="D17" s="47"/>
      <c r="E17" s="48" t="s">
        <v>44</v>
      </c>
      <c r="F17" s="47">
        <v>28503625</v>
      </c>
      <c r="G17" s="48" t="s">
        <v>29</v>
      </c>
      <c r="H17" s="42" t="s">
        <v>30</v>
      </c>
      <c r="I17" s="48">
        <v>1</v>
      </c>
      <c r="J17" s="48" t="s">
        <v>39</v>
      </c>
      <c r="K17" s="48" t="s">
        <v>31</v>
      </c>
      <c r="L17" s="49" t="s">
        <v>32</v>
      </c>
      <c r="M17" s="50" t="s">
        <v>45</v>
      </c>
      <c r="N17" s="50" t="s">
        <v>46</v>
      </c>
      <c r="O17" s="46">
        <v>42618</v>
      </c>
      <c r="P17" s="13"/>
      <c r="Q17" s="13"/>
    </row>
    <row r="18" spans="2:17">
      <c r="B18" s="6" t="s">
        <v>36</v>
      </c>
      <c r="C18" s="7">
        <v>1485900129</v>
      </c>
      <c r="D18" s="7"/>
      <c r="E18" s="8" t="s">
        <v>47</v>
      </c>
      <c r="F18" s="7"/>
      <c r="G18" s="8" t="s">
        <v>20</v>
      </c>
      <c r="H18" s="14" t="s">
        <v>30</v>
      </c>
      <c r="I18" s="8">
        <v>1</v>
      </c>
      <c r="J18" s="8" t="s">
        <v>22</v>
      </c>
      <c r="K18" s="8" t="s">
        <v>31</v>
      </c>
      <c r="L18" s="15" t="s">
        <v>48</v>
      </c>
      <c r="M18" s="7" t="s">
        <v>49</v>
      </c>
      <c r="N18" s="7" t="s">
        <v>50</v>
      </c>
      <c r="O18" s="12">
        <v>41067</v>
      </c>
      <c r="P18" s="13"/>
      <c r="Q18" s="13"/>
    </row>
    <row r="19" spans="2:17" ht="60">
      <c r="B19" s="24" t="s">
        <v>43</v>
      </c>
      <c r="C19" s="20">
        <v>1483900405</v>
      </c>
      <c r="D19" s="20"/>
      <c r="E19" s="21" t="s">
        <v>51</v>
      </c>
      <c r="F19" s="20">
        <v>28503630</v>
      </c>
      <c r="G19" s="21" t="s">
        <v>29</v>
      </c>
      <c r="H19" s="14" t="s">
        <v>30</v>
      </c>
      <c r="I19" s="21">
        <v>1</v>
      </c>
      <c r="J19" s="21" t="s">
        <v>22</v>
      </c>
      <c r="K19" s="8" t="s">
        <v>31</v>
      </c>
      <c r="L19" s="10" t="s">
        <v>52</v>
      </c>
      <c r="M19" s="17" t="s">
        <v>53</v>
      </c>
      <c r="N19" s="17" t="s">
        <v>54</v>
      </c>
      <c r="O19" s="12">
        <v>42618</v>
      </c>
      <c r="P19" s="13"/>
      <c r="Q19" s="13"/>
    </row>
    <row r="20" spans="2:17">
      <c r="B20" s="6" t="s">
        <v>55</v>
      </c>
      <c r="C20" s="51">
        <v>1485900160</v>
      </c>
      <c r="D20" s="51"/>
      <c r="E20" s="52" t="s">
        <v>56</v>
      </c>
      <c r="F20" s="51"/>
      <c r="G20" s="44" t="s">
        <v>57</v>
      </c>
      <c r="H20" s="53" t="s">
        <v>58</v>
      </c>
      <c r="I20" s="44">
        <v>1</v>
      </c>
      <c r="J20" s="44" t="s">
        <v>39</v>
      </c>
      <c r="K20" s="54" t="s">
        <v>31</v>
      </c>
      <c r="L20" s="45" t="s">
        <v>40</v>
      </c>
      <c r="M20" s="41">
        <v>564850.18999999994</v>
      </c>
      <c r="N20" s="41">
        <v>4066599.98</v>
      </c>
      <c r="O20" s="46">
        <v>44849</v>
      </c>
      <c r="P20" s="13"/>
      <c r="Q20" s="13"/>
    </row>
    <row r="21" spans="2:17">
      <c r="B21" s="6" t="s">
        <v>27</v>
      </c>
      <c r="C21" s="51">
        <v>1485400180</v>
      </c>
      <c r="D21" s="51"/>
      <c r="E21" s="44" t="s">
        <v>59</v>
      </c>
      <c r="F21" s="51">
        <v>28503582</v>
      </c>
      <c r="G21" s="44" t="s">
        <v>20</v>
      </c>
      <c r="H21" s="42" t="s">
        <v>38</v>
      </c>
      <c r="I21" s="44">
        <v>1</v>
      </c>
      <c r="J21" s="44" t="s">
        <v>39</v>
      </c>
      <c r="K21" s="44" t="s">
        <v>31</v>
      </c>
      <c r="L21" s="45" t="s">
        <v>40</v>
      </c>
      <c r="M21" s="41" t="s">
        <v>60</v>
      </c>
      <c r="N21" s="41" t="s">
        <v>61</v>
      </c>
      <c r="O21" s="46">
        <v>40924</v>
      </c>
      <c r="P21" s="13"/>
      <c r="Q21" s="13"/>
    </row>
    <row r="22" spans="2:17">
      <c r="B22" s="6" t="s">
        <v>62</v>
      </c>
      <c r="C22" s="17">
        <v>1489600220</v>
      </c>
      <c r="D22" s="17"/>
      <c r="E22" s="6" t="s">
        <v>63</v>
      </c>
      <c r="F22" s="17"/>
      <c r="G22" s="6" t="s">
        <v>57</v>
      </c>
      <c r="H22" s="18" t="s">
        <v>21</v>
      </c>
      <c r="I22" s="6">
        <v>1</v>
      </c>
      <c r="J22" s="6" t="s">
        <v>22</v>
      </c>
      <c r="K22" s="8" t="s">
        <v>31</v>
      </c>
      <c r="L22" s="22" t="s">
        <v>32</v>
      </c>
      <c r="M22" s="6" t="s">
        <v>64</v>
      </c>
      <c r="N22" s="6" t="s">
        <v>65</v>
      </c>
      <c r="O22" s="12">
        <v>41100</v>
      </c>
      <c r="P22" s="13"/>
      <c r="Q22" s="13"/>
    </row>
    <row r="23" spans="2:17" s="4" customFormat="1">
      <c r="B23" s="6" t="s">
        <v>27</v>
      </c>
      <c r="C23" s="7">
        <v>1485400130</v>
      </c>
      <c r="D23" s="7"/>
      <c r="E23" s="8" t="s">
        <v>66</v>
      </c>
      <c r="F23" s="7">
        <v>28503453</v>
      </c>
      <c r="G23" s="8" t="s">
        <v>20</v>
      </c>
      <c r="H23" s="14" t="s">
        <v>21</v>
      </c>
      <c r="I23" s="8">
        <v>1</v>
      </c>
      <c r="J23" s="8" t="s">
        <v>22</v>
      </c>
      <c r="K23" s="8" t="s">
        <v>31</v>
      </c>
      <c r="L23" s="22" t="s">
        <v>67</v>
      </c>
      <c r="M23" s="17" t="s">
        <v>68</v>
      </c>
      <c r="N23" s="17" t="s">
        <v>69</v>
      </c>
      <c r="O23" s="12">
        <v>42261</v>
      </c>
      <c r="P23" s="13"/>
      <c r="Q23" s="13"/>
    </row>
    <row r="24" spans="2:17" s="4" customFormat="1" ht="30">
      <c r="B24" s="6" t="s">
        <v>62</v>
      </c>
      <c r="C24" s="7">
        <v>1489500170</v>
      </c>
      <c r="D24" s="7"/>
      <c r="E24" s="25" t="s">
        <v>70</v>
      </c>
      <c r="F24" s="7">
        <v>28503627</v>
      </c>
      <c r="G24" s="8" t="s">
        <v>20</v>
      </c>
      <c r="H24" s="14" t="s">
        <v>38</v>
      </c>
      <c r="I24" s="8">
        <v>1</v>
      </c>
      <c r="J24" s="8" t="s">
        <v>22</v>
      </c>
      <c r="K24" s="8" t="s">
        <v>31</v>
      </c>
      <c r="L24" s="22" t="s">
        <v>71</v>
      </c>
      <c r="M24" s="17" t="s">
        <v>72</v>
      </c>
      <c r="N24" s="17" t="s">
        <v>73</v>
      </c>
      <c r="O24" s="12">
        <v>43132</v>
      </c>
      <c r="P24" s="13"/>
      <c r="Q24" s="13"/>
    </row>
    <row r="25" spans="2:17" s="4" customFormat="1">
      <c r="B25" s="6" t="s">
        <v>74</v>
      </c>
      <c r="C25" s="51">
        <v>1484901308</v>
      </c>
      <c r="D25" s="51"/>
      <c r="E25" s="52" t="s">
        <v>75</v>
      </c>
      <c r="F25" s="41">
        <v>28503449</v>
      </c>
      <c r="G25" s="44" t="s">
        <v>29</v>
      </c>
      <c r="H25" s="42" t="s">
        <v>30</v>
      </c>
      <c r="I25" s="44">
        <v>1</v>
      </c>
      <c r="J25" s="52" t="s">
        <v>39</v>
      </c>
      <c r="K25" s="44" t="s">
        <v>31</v>
      </c>
      <c r="L25" s="49" t="s">
        <v>76</v>
      </c>
      <c r="M25" s="39" t="s">
        <v>77</v>
      </c>
      <c r="N25" s="39" t="s">
        <v>78</v>
      </c>
      <c r="O25" s="46">
        <v>42992</v>
      </c>
      <c r="P25" s="13"/>
      <c r="Q25" s="13"/>
    </row>
    <row r="26" spans="2:17">
      <c r="B26" s="6" t="s">
        <v>36</v>
      </c>
      <c r="C26" s="20">
        <v>1485900141</v>
      </c>
      <c r="D26" s="20"/>
      <c r="E26" s="21" t="s">
        <v>79</v>
      </c>
      <c r="F26" s="20">
        <v>28220989</v>
      </c>
      <c r="G26" s="21" t="s">
        <v>20</v>
      </c>
      <c r="H26" s="18" t="s">
        <v>21</v>
      </c>
      <c r="I26" s="21">
        <v>1</v>
      </c>
      <c r="J26" s="21" t="s">
        <v>22</v>
      </c>
      <c r="K26" s="8" t="s">
        <v>31</v>
      </c>
      <c r="L26" s="22" t="s">
        <v>67</v>
      </c>
      <c r="M26" s="20" t="s">
        <v>80</v>
      </c>
      <c r="N26" s="20" t="s">
        <v>81</v>
      </c>
      <c r="O26" s="12">
        <v>40827</v>
      </c>
      <c r="P26" s="13"/>
      <c r="Q26" s="13"/>
    </row>
    <row r="27" spans="2:17">
      <c r="B27" s="6" t="s">
        <v>82</v>
      </c>
      <c r="C27" s="7">
        <v>1486902811</v>
      </c>
      <c r="D27" s="7"/>
      <c r="E27" s="8" t="s">
        <v>83</v>
      </c>
      <c r="F27" s="7">
        <v>28503597</v>
      </c>
      <c r="G27" s="8" t="s">
        <v>29</v>
      </c>
      <c r="H27" s="14" t="s">
        <v>30</v>
      </c>
      <c r="I27" s="8">
        <v>1</v>
      </c>
      <c r="J27" s="8" t="s">
        <v>22</v>
      </c>
      <c r="K27" s="8" t="s">
        <v>31</v>
      </c>
      <c r="L27" s="15" t="s">
        <v>32</v>
      </c>
      <c r="M27" s="17" t="s">
        <v>84</v>
      </c>
      <c r="N27" s="17" t="s">
        <v>85</v>
      </c>
      <c r="O27" s="12">
        <v>42787</v>
      </c>
      <c r="P27" s="13"/>
      <c r="Q27" s="13"/>
    </row>
    <row r="28" spans="2:17" s="4" customFormat="1">
      <c r="B28" s="6" t="s">
        <v>86</v>
      </c>
      <c r="C28" s="51">
        <v>1484951912</v>
      </c>
      <c r="D28" s="51"/>
      <c r="E28" s="44" t="s">
        <v>87</v>
      </c>
      <c r="F28" s="51">
        <v>28503488</v>
      </c>
      <c r="G28" s="44" t="s">
        <v>29</v>
      </c>
      <c r="H28" s="42" t="s">
        <v>30</v>
      </c>
      <c r="I28" s="44">
        <v>1</v>
      </c>
      <c r="J28" s="44" t="s">
        <v>39</v>
      </c>
      <c r="K28" s="44" t="s">
        <v>31</v>
      </c>
      <c r="L28" s="45" t="s">
        <v>40</v>
      </c>
      <c r="M28" s="41" t="s">
        <v>88</v>
      </c>
      <c r="N28" s="41" t="s">
        <v>89</v>
      </c>
      <c r="O28" s="46">
        <v>42797</v>
      </c>
      <c r="P28" s="13"/>
      <c r="Q28" s="13"/>
    </row>
    <row r="29" spans="2:17">
      <c r="B29" s="6" t="s">
        <v>27</v>
      </c>
      <c r="C29" s="11">
        <v>1485965922</v>
      </c>
      <c r="D29" s="11"/>
      <c r="E29" s="16" t="s">
        <v>90</v>
      </c>
      <c r="F29" s="17">
        <v>28503494</v>
      </c>
      <c r="G29" s="16" t="s">
        <v>29</v>
      </c>
      <c r="H29" s="18" t="s">
        <v>21</v>
      </c>
      <c r="I29" s="19">
        <v>1</v>
      </c>
      <c r="J29" s="8" t="s">
        <v>22</v>
      </c>
      <c r="K29" s="8" t="s">
        <v>31</v>
      </c>
      <c r="L29" s="22" t="s">
        <v>67</v>
      </c>
      <c r="M29" s="11" t="s">
        <v>91</v>
      </c>
      <c r="N29" s="11" t="s">
        <v>92</v>
      </c>
      <c r="O29" s="12">
        <v>43074</v>
      </c>
      <c r="P29" s="13"/>
      <c r="Q29" s="13"/>
    </row>
    <row r="30" spans="2:17">
      <c r="B30" s="6" t="s">
        <v>62</v>
      </c>
      <c r="C30" s="7">
        <v>1489919218</v>
      </c>
      <c r="D30" s="7"/>
      <c r="E30" s="25" t="s">
        <v>62</v>
      </c>
      <c r="F30" s="17">
        <v>28503590</v>
      </c>
      <c r="G30" s="8" t="s">
        <v>29</v>
      </c>
      <c r="H30" s="18" t="s">
        <v>30</v>
      </c>
      <c r="I30" s="8">
        <v>1</v>
      </c>
      <c r="J30" s="8" t="s">
        <v>22</v>
      </c>
      <c r="K30" s="8" t="s">
        <v>31</v>
      </c>
      <c r="L30" s="22" t="s">
        <v>32</v>
      </c>
      <c r="M30" s="17" t="s">
        <v>93</v>
      </c>
      <c r="N30" s="17" t="s">
        <v>94</v>
      </c>
      <c r="O30" s="12">
        <v>42927</v>
      </c>
      <c r="P30" s="13"/>
      <c r="Q30" s="13"/>
    </row>
    <row r="31" spans="2:17">
      <c r="B31" s="6" t="s">
        <v>95</v>
      </c>
      <c r="C31" s="7">
        <v>1488904616</v>
      </c>
      <c r="D31" s="7"/>
      <c r="E31" s="25" t="s">
        <v>95</v>
      </c>
      <c r="F31" s="17">
        <v>28503358</v>
      </c>
      <c r="G31" s="8" t="s">
        <v>29</v>
      </c>
      <c r="H31" s="14" t="s">
        <v>30</v>
      </c>
      <c r="I31" s="6">
        <v>1</v>
      </c>
      <c r="J31" s="8" t="s">
        <v>22</v>
      </c>
      <c r="K31" s="8" t="s">
        <v>23</v>
      </c>
      <c r="L31" s="15" t="s">
        <v>32</v>
      </c>
      <c r="M31" s="11" t="s">
        <v>96</v>
      </c>
      <c r="N31" s="11" t="s">
        <v>97</v>
      </c>
      <c r="O31" s="12">
        <v>43040</v>
      </c>
      <c r="P31" s="13"/>
      <c r="Q31" s="13"/>
    </row>
    <row r="32" spans="2:17">
      <c r="B32" s="6" t="s">
        <v>27</v>
      </c>
      <c r="C32" s="51">
        <v>1485400110</v>
      </c>
      <c r="D32" s="51"/>
      <c r="E32" s="44" t="s">
        <v>98</v>
      </c>
      <c r="F32" s="51">
        <v>28503593</v>
      </c>
      <c r="G32" s="44" t="s">
        <v>20</v>
      </c>
      <c r="H32" s="55" t="s">
        <v>38</v>
      </c>
      <c r="I32" s="44">
        <v>1</v>
      </c>
      <c r="J32" s="44" t="s">
        <v>39</v>
      </c>
      <c r="K32" s="44" t="s">
        <v>31</v>
      </c>
      <c r="L32" s="45" t="s">
        <v>40</v>
      </c>
      <c r="M32" s="41" t="s">
        <v>99</v>
      </c>
      <c r="N32" s="41" t="s">
        <v>100</v>
      </c>
      <c r="O32" s="46">
        <v>40933</v>
      </c>
      <c r="P32" s="13"/>
      <c r="Q32" s="13"/>
    </row>
    <row r="33" spans="2:17">
      <c r="B33" s="6" t="s">
        <v>27</v>
      </c>
      <c r="C33" s="51">
        <v>1485400111</v>
      </c>
      <c r="D33" s="51"/>
      <c r="E33" s="52" t="s">
        <v>101</v>
      </c>
      <c r="F33" s="51">
        <v>28503536</v>
      </c>
      <c r="G33" s="44" t="s">
        <v>57</v>
      </c>
      <c r="H33" s="42" t="s">
        <v>38</v>
      </c>
      <c r="I33" s="44">
        <v>1</v>
      </c>
      <c r="J33" s="44" t="s">
        <v>39</v>
      </c>
      <c r="K33" s="44" t="s">
        <v>31</v>
      </c>
      <c r="L33" s="45" t="s">
        <v>40</v>
      </c>
      <c r="M33" s="56" t="s">
        <v>102</v>
      </c>
      <c r="N33" s="56" t="s">
        <v>103</v>
      </c>
      <c r="O33" s="46">
        <v>42162</v>
      </c>
      <c r="P33" s="13"/>
      <c r="Q33" s="13"/>
    </row>
    <row r="34" spans="2:17">
      <c r="B34" s="6" t="s">
        <v>27</v>
      </c>
      <c r="C34" s="51">
        <v>1485101211</v>
      </c>
      <c r="D34" s="51"/>
      <c r="E34" s="44" t="s">
        <v>104</v>
      </c>
      <c r="F34" s="51">
        <v>28220998</v>
      </c>
      <c r="G34" s="44" t="s">
        <v>57</v>
      </c>
      <c r="H34" s="55" t="s">
        <v>38</v>
      </c>
      <c r="I34" s="57">
        <v>1</v>
      </c>
      <c r="J34" s="44" t="s">
        <v>39</v>
      </c>
      <c r="K34" s="44" t="s">
        <v>31</v>
      </c>
      <c r="L34" s="45" t="s">
        <v>40</v>
      </c>
      <c r="M34" s="51" t="s">
        <v>105</v>
      </c>
      <c r="N34" s="44" t="s">
        <v>106</v>
      </c>
      <c r="O34" s="46">
        <v>40925</v>
      </c>
      <c r="P34" s="13"/>
      <c r="Q34" s="13"/>
    </row>
    <row r="35" spans="2:17">
      <c r="B35" s="6" t="s">
        <v>107</v>
      </c>
      <c r="C35" s="51">
        <v>1485900187</v>
      </c>
      <c r="D35" s="51"/>
      <c r="E35" s="44" t="s">
        <v>108</v>
      </c>
      <c r="F35" s="51">
        <v>28220975</v>
      </c>
      <c r="G35" s="44" t="s">
        <v>57</v>
      </c>
      <c r="H35" s="55" t="s">
        <v>38</v>
      </c>
      <c r="I35" s="44">
        <v>1</v>
      </c>
      <c r="J35" s="44" t="s">
        <v>39</v>
      </c>
      <c r="K35" s="44" t="s">
        <v>31</v>
      </c>
      <c r="L35" s="45" t="s">
        <v>40</v>
      </c>
      <c r="M35" s="41" t="s">
        <v>109</v>
      </c>
      <c r="N35" s="41" t="s">
        <v>110</v>
      </c>
      <c r="O35" s="46">
        <v>42363</v>
      </c>
      <c r="P35" s="13"/>
      <c r="Q35" s="13"/>
    </row>
    <row r="36" spans="2:17" ht="17.25" customHeight="1">
      <c r="B36" s="6" t="s">
        <v>36</v>
      </c>
      <c r="C36" s="50">
        <v>1483700350</v>
      </c>
      <c r="D36" s="50"/>
      <c r="E36" s="58" t="s">
        <v>111</v>
      </c>
      <c r="F36" s="47">
        <v>28503537</v>
      </c>
      <c r="G36" s="48" t="s">
        <v>57</v>
      </c>
      <c r="H36" s="55" t="s">
        <v>21</v>
      </c>
      <c r="I36" s="59">
        <v>1</v>
      </c>
      <c r="J36" s="48" t="s">
        <v>39</v>
      </c>
      <c r="K36" s="44" t="s">
        <v>31</v>
      </c>
      <c r="L36" s="45" t="s">
        <v>40</v>
      </c>
      <c r="M36" s="50" t="s">
        <v>112</v>
      </c>
      <c r="N36" s="50" t="s">
        <v>113</v>
      </c>
      <c r="O36" s="46">
        <v>43223</v>
      </c>
      <c r="P36" s="13"/>
      <c r="Q36" s="13"/>
    </row>
    <row r="37" spans="2:17" s="4" customFormat="1">
      <c r="B37" s="6" t="s">
        <v>43</v>
      </c>
      <c r="C37" s="11">
        <v>1483401550</v>
      </c>
      <c r="D37" s="11"/>
      <c r="E37" s="16" t="s">
        <v>114</v>
      </c>
      <c r="F37" s="17">
        <v>28503627</v>
      </c>
      <c r="G37" s="8" t="s">
        <v>57</v>
      </c>
      <c r="H37" s="18" t="s">
        <v>21</v>
      </c>
      <c r="I37" s="19">
        <v>1</v>
      </c>
      <c r="J37" s="8" t="s">
        <v>22</v>
      </c>
      <c r="K37" s="8" t="s">
        <v>23</v>
      </c>
      <c r="L37" s="22" t="s">
        <v>115</v>
      </c>
      <c r="M37" s="11" t="s">
        <v>116</v>
      </c>
      <c r="N37" s="11" t="s">
        <v>117</v>
      </c>
      <c r="O37" s="12">
        <v>43161</v>
      </c>
      <c r="P37" s="13"/>
      <c r="Q37" s="13"/>
    </row>
    <row r="38" spans="2:17">
      <c r="B38" s="6" t="s">
        <v>55</v>
      </c>
      <c r="C38" s="51">
        <v>1485900170</v>
      </c>
      <c r="D38" s="51"/>
      <c r="E38" s="52" t="s">
        <v>118</v>
      </c>
      <c r="F38" s="51">
        <v>28503543</v>
      </c>
      <c r="G38" s="44" t="s">
        <v>20</v>
      </c>
      <c r="H38" s="55" t="s">
        <v>38</v>
      </c>
      <c r="I38" s="44">
        <v>1</v>
      </c>
      <c r="J38" s="44" t="s">
        <v>39</v>
      </c>
      <c r="K38" s="44" t="s">
        <v>31</v>
      </c>
      <c r="L38" s="45" t="s">
        <v>40</v>
      </c>
      <c r="M38" s="41" t="s">
        <v>119</v>
      </c>
      <c r="N38" s="41" t="s">
        <v>120</v>
      </c>
      <c r="O38" s="46">
        <v>41814</v>
      </c>
      <c r="P38" s="13"/>
      <c r="Q38" s="13"/>
    </row>
    <row r="39" spans="2:17">
      <c r="B39" s="6" t="s">
        <v>27</v>
      </c>
      <c r="C39" s="51">
        <v>1485400160</v>
      </c>
      <c r="D39" s="51"/>
      <c r="E39" s="44" t="s">
        <v>27</v>
      </c>
      <c r="F39" s="51">
        <v>28503413</v>
      </c>
      <c r="G39" s="44" t="s">
        <v>20</v>
      </c>
      <c r="H39" s="42" t="s">
        <v>38</v>
      </c>
      <c r="I39" s="44">
        <v>1</v>
      </c>
      <c r="J39" s="44" t="s">
        <v>39</v>
      </c>
      <c r="K39" s="44" t="s">
        <v>31</v>
      </c>
      <c r="L39" s="45" t="s">
        <v>40</v>
      </c>
      <c r="M39" s="41" t="s">
        <v>121</v>
      </c>
      <c r="N39" s="41" t="s">
        <v>122</v>
      </c>
      <c r="O39" s="46">
        <v>40942</v>
      </c>
      <c r="P39" s="13"/>
      <c r="Q39" s="13"/>
    </row>
    <row r="40" spans="2:17">
      <c r="B40" s="6" t="s">
        <v>27</v>
      </c>
      <c r="C40" s="51">
        <v>148569880</v>
      </c>
      <c r="D40" s="51"/>
      <c r="E40" s="44" t="s">
        <v>123</v>
      </c>
      <c r="F40" s="51">
        <v>28503544</v>
      </c>
      <c r="G40" s="44" t="s">
        <v>29</v>
      </c>
      <c r="H40" s="55" t="s">
        <v>30</v>
      </c>
      <c r="I40" s="44">
        <v>1</v>
      </c>
      <c r="J40" s="44" t="s">
        <v>39</v>
      </c>
      <c r="K40" s="44" t="s">
        <v>31</v>
      </c>
      <c r="L40" s="45" t="s">
        <v>32</v>
      </c>
      <c r="M40" s="41" t="s">
        <v>124</v>
      </c>
      <c r="N40" s="41" t="s">
        <v>125</v>
      </c>
      <c r="O40" s="46">
        <v>42619</v>
      </c>
      <c r="P40" s="13"/>
      <c r="Q40" s="13"/>
    </row>
    <row r="41" spans="2:17">
      <c r="B41" s="6" t="s">
        <v>82</v>
      </c>
      <c r="C41" s="7">
        <v>1486949611</v>
      </c>
      <c r="D41" s="7"/>
      <c r="E41" s="8" t="s">
        <v>126</v>
      </c>
      <c r="F41" s="7">
        <v>28503583</v>
      </c>
      <c r="G41" s="8" t="s">
        <v>29</v>
      </c>
      <c r="H41" s="18" t="s">
        <v>30</v>
      </c>
      <c r="I41" s="8">
        <v>1</v>
      </c>
      <c r="J41" s="8" t="s">
        <v>22</v>
      </c>
      <c r="K41" s="8" t="s">
        <v>31</v>
      </c>
      <c r="L41" s="15" t="s">
        <v>32</v>
      </c>
      <c r="M41" s="17" t="s">
        <v>127</v>
      </c>
      <c r="N41" s="17" t="s">
        <v>128</v>
      </c>
      <c r="O41" s="12">
        <v>42769</v>
      </c>
      <c r="P41" s="13"/>
      <c r="Q41" s="13"/>
    </row>
    <row r="42" spans="2:17">
      <c r="B42" s="6" t="s">
        <v>18</v>
      </c>
      <c r="C42" s="51">
        <v>1486922109</v>
      </c>
      <c r="D42" s="51"/>
      <c r="E42" s="52" t="s">
        <v>129</v>
      </c>
      <c r="F42" s="51">
        <v>28503489</v>
      </c>
      <c r="G42" s="44" t="s">
        <v>29</v>
      </c>
      <c r="H42" s="55" t="s">
        <v>30</v>
      </c>
      <c r="I42" s="44">
        <v>1</v>
      </c>
      <c r="J42" s="44" t="s">
        <v>39</v>
      </c>
      <c r="K42" s="44" t="s">
        <v>31</v>
      </c>
      <c r="L42" s="45" t="s">
        <v>40</v>
      </c>
      <c r="M42" s="41" t="s">
        <v>130</v>
      </c>
      <c r="N42" s="41" t="s">
        <v>131</v>
      </c>
      <c r="O42" s="46">
        <v>43071</v>
      </c>
      <c r="P42" s="13"/>
      <c r="Q42" s="13"/>
    </row>
    <row r="43" spans="2:17" ht="36" customHeight="1">
      <c r="B43" s="25" t="s">
        <v>132</v>
      </c>
      <c r="C43" s="7">
        <v>1489958520</v>
      </c>
      <c r="D43" s="7"/>
      <c r="E43" s="25" t="s">
        <v>133</v>
      </c>
      <c r="F43" s="17"/>
      <c r="G43" s="8" t="s">
        <v>29</v>
      </c>
      <c r="H43" s="18" t="s">
        <v>30</v>
      </c>
      <c r="I43" s="8">
        <v>1</v>
      </c>
      <c r="J43" s="8" t="s">
        <v>22</v>
      </c>
      <c r="K43" s="8" t="s">
        <v>23</v>
      </c>
      <c r="L43" s="10" t="s">
        <v>52</v>
      </c>
      <c r="M43" s="11" t="s">
        <v>134</v>
      </c>
      <c r="N43" s="11" t="s">
        <v>135</v>
      </c>
      <c r="O43" s="12">
        <v>43035</v>
      </c>
      <c r="P43" s="13"/>
      <c r="Q43" s="13"/>
    </row>
    <row r="44" spans="2:17">
      <c r="B44" s="6" t="s">
        <v>136</v>
      </c>
      <c r="C44" s="7">
        <v>1485361903</v>
      </c>
      <c r="D44" s="7"/>
      <c r="E44" s="25" t="s">
        <v>137</v>
      </c>
      <c r="F44" s="7">
        <v>28220962</v>
      </c>
      <c r="G44" s="8" t="s">
        <v>29</v>
      </c>
      <c r="H44" s="14" t="s">
        <v>30</v>
      </c>
      <c r="I44" s="8">
        <v>1</v>
      </c>
      <c r="J44" s="8" t="s">
        <v>22</v>
      </c>
      <c r="K44" s="8" t="s">
        <v>31</v>
      </c>
      <c r="L44" s="22" t="s">
        <v>32</v>
      </c>
      <c r="M44" s="17" t="s">
        <v>138</v>
      </c>
      <c r="N44" s="17" t="s">
        <v>139</v>
      </c>
      <c r="O44" s="12">
        <v>42620</v>
      </c>
      <c r="P44" s="13"/>
      <c r="Q44" s="13"/>
    </row>
    <row r="45" spans="2:17">
      <c r="B45" s="6" t="s">
        <v>36</v>
      </c>
      <c r="C45" s="7">
        <v>1485801890</v>
      </c>
      <c r="D45" s="7"/>
      <c r="E45" s="25" t="s">
        <v>140</v>
      </c>
      <c r="F45" s="7">
        <v>28503564</v>
      </c>
      <c r="G45" s="8" t="s">
        <v>57</v>
      </c>
      <c r="H45" s="18" t="s">
        <v>21</v>
      </c>
      <c r="I45" s="8">
        <v>1</v>
      </c>
      <c r="J45" s="8" t="s">
        <v>22</v>
      </c>
      <c r="K45" s="8" t="s">
        <v>31</v>
      </c>
      <c r="L45" s="22" t="s">
        <v>67</v>
      </c>
      <c r="M45" s="17" t="s">
        <v>141</v>
      </c>
      <c r="N45" s="17" t="s">
        <v>142</v>
      </c>
      <c r="O45" s="12">
        <v>41018</v>
      </c>
      <c r="P45" s="13"/>
      <c r="Q45" s="13"/>
    </row>
    <row r="46" spans="2:17">
      <c r="B46" s="6" t="s">
        <v>18</v>
      </c>
      <c r="C46" s="51">
        <v>1486300140</v>
      </c>
      <c r="D46" s="51"/>
      <c r="E46" s="52" t="s">
        <v>143</v>
      </c>
      <c r="F46" s="51"/>
      <c r="G46" s="44" t="s">
        <v>20</v>
      </c>
      <c r="H46" s="42" t="s">
        <v>21</v>
      </c>
      <c r="I46" s="44">
        <v>1</v>
      </c>
      <c r="J46" s="44" t="s">
        <v>39</v>
      </c>
      <c r="K46" s="44" t="s">
        <v>31</v>
      </c>
      <c r="L46" s="45" t="s">
        <v>40</v>
      </c>
      <c r="M46" s="41" t="s">
        <v>144</v>
      </c>
      <c r="N46" s="41" t="s">
        <v>145</v>
      </c>
      <c r="O46" s="46">
        <v>41162</v>
      </c>
      <c r="P46" s="13"/>
      <c r="Q46" s="13"/>
    </row>
    <row r="47" spans="2:17">
      <c r="B47" s="6" t="s">
        <v>107</v>
      </c>
      <c r="C47" s="51">
        <v>1485351912</v>
      </c>
      <c r="D47" s="51"/>
      <c r="E47" s="60" t="s">
        <v>146</v>
      </c>
      <c r="F47" s="51">
        <v>28503563</v>
      </c>
      <c r="G47" s="61" t="s">
        <v>29</v>
      </c>
      <c r="H47" s="42" t="s">
        <v>30</v>
      </c>
      <c r="I47" s="57">
        <v>1</v>
      </c>
      <c r="J47" s="62" t="s">
        <v>39</v>
      </c>
      <c r="K47" s="44" t="s">
        <v>31</v>
      </c>
      <c r="L47" s="49" t="s">
        <v>32</v>
      </c>
      <c r="M47" s="51" t="s">
        <v>147</v>
      </c>
      <c r="N47" s="51" t="s">
        <v>148</v>
      </c>
      <c r="O47" s="46">
        <v>42621</v>
      </c>
      <c r="P47" s="13"/>
      <c r="Q47" s="13"/>
    </row>
    <row r="48" spans="2:17">
      <c r="B48" s="6" t="s">
        <v>149</v>
      </c>
      <c r="C48" s="51">
        <v>1484100180</v>
      </c>
      <c r="D48" s="51"/>
      <c r="E48" s="44" t="s">
        <v>150</v>
      </c>
      <c r="F48" s="51">
        <v>28220980</v>
      </c>
      <c r="G48" s="44" t="s">
        <v>57</v>
      </c>
      <c r="H48" s="42" t="s">
        <v>38</v>
      </c>
      <c r="I48" s="44">
        <v>1</v>
      </c>
      <c r="J48" s="44" t="s">
        <v>39</v>
      </c>
      <c r="K48" s="44" t="s">
        <v>31</v>
      </c>
      <c r="L48" s="45" t="s">
        <v>40</v>
      </c>
      <c r="M48" s="41" t="s">
        <v>151</v>
      </c>
      <c r="N48" s="41" t="s">
        <v>152</v>
      </c>
      <c r="O48" s="46">
        <v>41198</v>
      </c>
      <c r="P48" s="13"/>
      <c r="Q48" s="13"/>
    </row>
    <row r="49" spans="2:17">
      <c r="B49" s="6" t="s">
        <v>36</v>
      </c>
      <c r="C49" s="51">
        <v>1485802270</v>
      </c>
      <c r="D49" s="51"/>
      <c r="E49" s="44" t="s">
        <v>153</v>
      </c>
      <c r="F49" s="51">
        <v>28503466</v>
      </c>
      <c r="G49" s="44" t="s">
        <v>57</v>
      </c>
      <c r="H49" s="55" t="s">
        <v>38</v>
      </c>
      <c r="I49" s="44">
        <v>1</v>
      </c>
      <c r="J49" s="44" t="s">
        <v>39</v>
      </c>
      <c r="K49" s="44" t="s">
        <v>31</v>
      </c>
      <c r="L49" s="45" t="s">
        <v>40</v>
      </c>
      <c r="M49" s="41" t="s">
        <v>154</v>
      </c>
      <c r="N49" s="41" t="s">
        <v>155</v>
      </c>
      <c r="O49" s="46">
        <v>41918</v>
      </c>
      <c r="P49" s="13"/>
      <c r="Q49" s="13"/>
    </row>
    <row r="50" spans="2:17">
      <c r="B50" s="6" t="s">
        <v>156</v>
      </c>
      <c r="C50" s="7">
        <v>1485504870</v>
      </c>
      <c r="D50" s="7"/>
      <c r="E50" s="8" t="s">
        <v>157</v>
      </c>
      <c r="F50" s="7">
        <v>28503437</v>
      </c>
      <c r="G50" s="8" t="s">
        <v>57</v>
      </c>
      <c r="H50" s="14" t="s">
        <v>21</v>
      </c>
      <c r="I50" s="8">
        <v>1</v>
      </c>
      <c r="J50" s="8" t="s">
        <v>22</v>
      </c>
      <c r="K50" s="8" t="s">
        <v>23</v>
      </c>
      <c r="L50" s="22" t="s">
        <v>158</v>
      </c>
      <c r="M50" s="17" t="s">
        <v>159</v>
      </c>
      <c r="N50" s="17" t="s">
        <v>160</v>
      </c>
      <c r="O50" s="12">
        <v>42767</v>
      </c>
      <c r="P50" s="13"/>
      <c r="Q50" s="13"/>
    </row>
    <row r="51" spans="2:17">
      <c r="B51" s="6" t="s">
        <v>161</v>
      </c>
      <c r="C51" s="7">
        <v>1487904814</v>
      </c>
      <c r="D51" s="7"/>
      <c r="E51" s="25" t="s">
        <v>162</v>
      </c>
      <c r="F51" s="7">
        <v>28220991</v>
      </c>
      <c r="G51" s="8" t="s">
        <v>29</v>
      </c>
      <c r="H51" s="14" t="s">
        <v>30</v>
      </c>
      <c r="I51" s="8">
        <v>1</v>
      </c>
      <c r="J51" s="8" t="s">
        <v>22</v>
      </c>
      <c r="K51" s="8" t="s">
        <v>31</v>
      </c>
      <c r="L51" s="22" t="s">
        <v>32</v>
      </c>
      <c r="M51" s="17" t="s">
        <v>163</v>
      </c>
      <c r="N51" s="17" t="s">
        <v>164</v>
      </c>
      <c r="O51" s="12">
        <v>42803</v>
      </c>
      <c r="P51" s="13"/>
      <c r="Q51" s="13"/>
    </row>
    <row r="52" spans="2:17">
      <c r="B52" s="6" t="s">
        <v>55</v>
      </c>
      <c r="C52" s="51">
        <v>1484911924</v>
      </c>
      <c r="D52" s="51"/>
      <c r="E52" s="52" t="s">
        <v>165</v>
      </c>
      <c r="F52" s="51">
        <v>28503633</v>
      </c>
      <c r="G52" s="44" t="s">
        <v>29</v>
      </c>
      <c r="H52" s="42" t="s">
        <v>30</v>
      </c>
      <c r="I52" s="44">
        <v>1</v>
      </c>
      <c r="J52" s="44" t="s">
        <v>39</v>
      </c>
      <c r="K52" s="44" t="s">
        <v>31</v>
      </c>
      <c r="L52" s="45" t="s">
        <v>40</v>
      </c>
      <c r="M52" s="41" t="s">
        <v>166</v>
      </c>
      <c r="N52" s="41" t="s">
        <v>167</v>
      </c>
      <c r="O52" s="46">
        <v>42622</v>
      </c>
      <c r="P52" s="13"/>
      <c r="Q52" s="13"/>
    </row>
    <row r="53" spans="2:17">
      <c r="B53" s="6" t="s">
        <v>43</v>
      </c>
      <c r="C53" s="51">
        <v>1483600130</v>
      </c>
      <c r="D53" s="51"/>
      <c r="E53" s="44" t="s">
        <v>168</v>
      </c>
      <c r="F53" s="51">
        <v>28503587</v>
      </c>
      <c r="G53" s="44" t="s">
        <v>57</v>
      </c>
      <c r="H53" s="55" t="s">
        <v>38</v>
      </c>
      <c r="I53" s="44">
        <v>1</v>
      </c>
      <c r="J53" s="44" t="s">
        <v>39</v>
      </c>
      <c r="K53" s="44" t="s">
        <v>31</v>
      </c>
      <c r="L53" s="45" t="s">
        <v>40</v>
      </c>
      <c r="M53" s="41" t="s">
        <v>169</v>
      </c>
      <c r="N53" s="41" t="s">
        <v>170</v>
      </c>
      <c r="O53" s="46">
        <v>41176</v>
      </c>
      <c r="P53" s="13"/>
      <c r="Q53" s="13"/>
    </row>
    <row r="54" spans="2:17">
      <c r="B54" s="6" t="s">
        <v>62</v>
      </c>
      <c r="C54" s="7">
        <v>1489904918</v>
      </c>
      <c r="D54" s="7"/>
      <c r="E54" s="25" t="s">
        <v>171</v>
      </c>
      <c r="F54" s="17">
        <v>28503440</v>
      </c>
      <c r="G54" s="8" t="s">
        <v>29</v>
      </c>
      <c r="H54" s="14" t="s">
        <v>30</v>
      </c>
      <c r="I54" s="8">
        <v>1</v>
      </c>
      <c r="J54" s="8" t="s">
        <v>22</v>
      </c>
      <c r="K54" s="8" t="s">
        <v>31</v>
      </c>
      <c r="L54" s="22" t="s">
        <v>67</v>
      </c>
      <c r="M54" s="17" t="s">
        <v>172</v>
      </c>
      <c r="N54" s="17" t="s">
        <v>173</v>
      </c>
      <c r="O54" s="12">
        <v>42923</v>
      </c>
      <c r="P54" s="13"/>
      <c r="Q54" s="13"/>
    </row>
    <row r="55" spans="2:17">
      <c r="B55" s="6" t="s">
        <v>174</v>
      </c>
      <c r="C55" s="7">
        <v>1489930119</v>
      </c>
      <c r="D55" s="7"/>
      <c r="E55" s="25" t="s">
        <v>174</v>
      </c>
      <c r="F55" s="17">
        <v>28503443</v>
      </c>
      <c r="G55" s="8" t="s">
        <v>29</v>
      </c>
      <c r="H55" s="18" t="s">
        <v>30</v>
      </c>
      <c r="I55" s="8">
        <v>1</v>
      </c>
      <c r="J55" s="8" t="s">
        <v>22</v>
      </c>
      <c r="K55" s="8" t="s">
        <v>23</v>
      </c>
      <c r="L55" s="22" t="s">
        <v>32</v>
      </c>
      <c r="M55" s="11" t="s">
        <v>175</v>
      </c>
      <c r="N55" s="11" t="s">
        <v>176</v>
      </c>
      <c r="O55" s="12">
        <v>42923</v>
      </c>
      <c r="P55" s="13"/>
      <c r="Q55" s="13"/>
    </row>
    <row r="56" spans="2:17">
      <c r="B56" s="6" t="s">
        <v>36</v>
      </c>
      <c r="C56" s="51">
        <v>1485900139</v>
      </c>
      <c r="D56" s="51"/>
      <c r="E56" s="44" t="s">
        <v>177</v>
      </c>
      <c r="F56" s="51">
        <v>28220972</v>
      </c>
      <c r="G56" s="44" t="s">
        <v>57</v>
      </c>
      <c r="H56" s="42" t="s">
        <v>38</v>
      </c>
      <c r="I56" s="44">
        <v>1</v>
      </c>
      <c r="J56" s="44" t="s">
        <v>39</v>
      </c>
      <c r="K56" s="44" t="s">
        <v>31</v>
      </c>
      <c r="L56" s="45" t="s">
        <v>40</v>
      </c>
      <c r="M56" s="41" t="s">
        <v>178</v>
      </c>
      <c r="N56" s="41" t="s">
        <v>179</v>
      </c>
      <c r="O56" s="46">
        <v>40876</v>
      </c>
      <c r="P56" s="13"/>
      <c r="Q56" s="13"/>
    </row>
    <row r="57" spans="2:17">
      <c r="B57" s="6" t="s">
        <v>36</v>
      </c>
      <c r="C57" s="7">
        <v>1485900138</v>
      </c>
      <c r="D57" s="7"/>
      <c r="E57" s="25" t="s">
        <v>180</v>
      </c>
      <c r="F57" s="7"/>
      <c r="G57" s="8" t="s">
        <v>57</v>
      </c>
      <c r="H57" s="26" t="s">
        <v>58</v>
      </c>
      <c r="I57" s="8">
        <v>1</v>
      </c>
      <c r="J57" s="8" t="s">
        <v>22</v>
      </c>
      <c r="K57" s="27" t="s">
        <v>31</v>
      </c>
      <c r="L57" s="15" t="s">
        <v>40</v>
      </c>
      <c r="M57" s="13">
        <v>554423.34</v>
      </c>
      <c r="N57" s="13">
        <v>4055163.75</v>
      </c>
      <c r="O57" s="12">
        <v>44749</v>
      </c>
      <c r="P57" s="13"/>
      <c r="Q57" s="13"/>
    </row>
    <row r="58" spans="2:17">
      <c r="B58" s="6" t="s">
        <v>181</v>
      </c>
      <c r="C58" s="7">
        <v>1486904010</v>
      </c>
      <c r="D58" s="7"/>
      <c r="E58" s="8" t="s">
        <v>182</v>
      </c>
      <c r="F58" s="7">
        <v>28503557</v>
      </c>
      <c r="G58" s="8" t="s">
        <v>29</v>
      </c>
      <c r="H58" s="18" t="s">
        <v>30</v>
      </c>
      <c r="I58" s="8">
        <v>1</v>
      </c>
      <c r="J58" s="8" t="s">
        <v>22</v>
      </c>
      <c r="K58" s="8" t="s">
        <v>23</v>
      </c>
      <c r="L58" s="15" t="s">
        <v>32</v>
      </c>
      <c r="M58" s="17" t="s">
        <v>183</v>
      </c>
      <c r="N58" s="17" t="s">
        <v>184</v>
      </c>
      <c r="O58" s="12">
        <v>42655</v>
      </c>
      <c r="P58" s="13"/>
      <c r="Q58" s="13"/>
    </row>
    <row r="59" spans="2:17">
      <c r="B59" s="6" t="s">
        <v>62</v>
      </c>
      <c r="C59" s="7">
        <v>1489801580</v>
      </c>
      <c r="D59" s="7"/>
      <c r="E59" s="8" t="s">
        <v>185</v>
      </c>
      <c r="F59" s="7">
        <v>28503223</v>
      </c>
      <c r="G59" s="8" t="s">
        <v>57</v>
      </c>
      <c r="H59" s="18" t="s">
        <v>38</v>
      </c>
      <c r="I59" s="8">
        <v>1</v>
      </c>
      <c r="J59" s="8" t="s">
        <v>22</v>
      </c>
      <c r="K59" s="8" t="s">
        <v>31</v>
      </c>
      <c r="L59" s="15" t="s">
        <v>40</v>
      </c>
      <c r="M59" s="17" t="s">
        <v>186</v>
      </c>
      <c r="N59" s="17" t="s">
        <v>187</v>
      </c>
      <c r="O59" s="12">
        <v>43133</v>
      </c>
      <c r="P59" s="13"/>
      <c r="Q59" s="13"/>
    </row>
    <row r="60" spans="2:17">
      <c r="B60" s="6" t="s">
        <v>43</v>
      </c>
      <c r="C60" s="39">
        <v>1483600110</v>
      </c>
      <c r="D60" s="39"/>
      <c r="E60" s="40" t="s">
        <v>188</v>
      </c>
      <c r="F60" s="41">
        <v>28503567</v>
      </c>
      <c r="G60" s="44" t="s">
        <v>57</v>
      </c>
      <c r="H60" s="42" t="s">
        <v>38</v>
      </c>
      <c r="I60" s="43">
        <v>1</v>
      </c>
      <c r="J60" s="44" t="s">
        <v>39</v>
      </c>
      <c r="K60" s="44" t="s">
        <v>31</v>
      </c>
      <c r="L60" s="49" t="s">
        <v>67</v>
      </c>
      <c r="M60" s="39" t="s">
        <v>189</v>
      </c>
      <c r="N60" s="39" t="s">
        <v>190</v>
      </c>
      <c r="O60" s="46">
        <v>43161</v>
      </c>
      <c r="P60" s="13"/>
      <c r="Q60" s="13"/>
    </row>
    <row r="61" spans="2:17">
      <c r="B61" s="6" t="s">
        <v>136</v>
      </c>
      <c r="C61" s="8">
        <v>1485101210</v>
      </c>
      <c r="D61" s="8"/>
      <c r="E61" s="8" t="s">
        <v>191</v>
      </c>
      <c r="F61" s="8">
        <v>28503547</v>
      </c>
      <c r="G61" s="8" t="s">
        <v>20</v>
      </c>
      <c r="H61" s="18" t="s">
        <v>38</v>
      </c>
      <c r="I61" s="8">
        <v>1</v>
      </c>
      <c r="J61" s="8" t="s">
        <v>22</v>
      </c>
      <c r="K61" s="8" t="s">
        <v>31</v>
      </c>
      <c r="L61" s="15" t="s">
        <v>40</v>
      </c>
      <c r="M61" s="8" t="s">
        <v>192</v>
      </c>
      <c r="N61" s="8">
        <v>3996944</v>
      </c>
      <c r="O61" s="12">
        <v>40955</v>
      </c>
      <c r="P61" s="13"/>
      <c r="Q61" s="13"/>
    </row>
    <row r="62" spans="2:17" s="4" customFormat="1">
      <c r="B62" s="6" t="s">
        <v>36</v>
      </c>
      <c r="C62" s="51">
        <v>1485900140</v>
      </c>
      <c r="D62" s="51"/>
      <c r="E62" s="52" t="s">
        <v>193</v>
      </c>
      <c r="F62" s="51">
        <v>28220999</v>
      </c>
      <c r="G62" s="44" t="s">
        <v>57</v>
      </c>
      <c r="H62" s="55" t="s">
        <v>38</v>
      </c>
      <c r="I62" s="44">
        <v>1</v>
      </c>
      <c r="J62" s="44" t="s">
        <v>39</v>
      </c>
      <c r="K62" s="44" t="s">
        <v>31</v>
      </c>
      <c r="L62" s="49" t="s">
        <v>40</v>
      </c>
      <c r="M62" s="41" t="s">
        <v>194</v>
      </c>
      <c r="N62" s="41" t="s">
        <v>195</v>
      </c>
      <c r="O62" s="46">
        <v>41450</v>
      </c>
      <c r="P62" s="13"/>
      <c r="Q62" s="13"/>
    </row>
    <row r="63" spans="2:17">
      <c r="B63" s="6" t="s">
        <v>136</v>
      </c>
      <c r="C63" s="7">
        <v>1485101209</v>
      </c>
      <c r="D63" s="7"/>
      <c r="E63" s="8" t="s">
        <v>196</v>
      </c>
      <c r="F63" s="7">
        <v>28503481</v>
      </c>
      <c r="G63" s="8" t="s">
        <v>20</v>
      </c>
      <c r="H63" s="14" t="s">
        <v>21</v>
      </c>
      <c r="I63" s="8">
        <v>1</v>
      </c>
      <c r="J63" s="8" t="s">
        <v>22</v>
      </c>
      <c r="K63" s="8" t="s">
        <v>23</v>
      </c>
      <c r="L63" s="22" t="s">
        <v>32</v>
      </c>
      <c r="M63" s="17">
        <v>437428</v>
      </c>
      <c r="N63" s="17">
        <v>3980066</v>
      </c>
      <c r="O63" s="12">
        <v>42363</v>
      </c>
      <c r="P63" s="13"/>
      <c r="Q63" s="13"/>
    </row>
    <row r="64" spans="2:17">
      <c r="B64" s="6" t="s">
        <v>27</v>
      </c>
      <c r="C64" s="11">
        <v>1483902060</v>
      </c>
      <c r="D64" s="11"/>
      <c r="E64" s="16" t="s">
        <v>197</v>
      </c>
      <c r="F64" s="17">
        <v>28503543</v>
      </c>
      <c r="G64" s="8" t="s">
        <v>57</v>
      </c>
      <c r="H64" s="18" t="s">
        <v>38</v>
      </c>
      <c r="I64" s="19">
        <v>1</v>
      </c>
      <c r="J64" s="8" t="s">
        <v>22</v>
      </c>
      <c r="K64" s="8" t="s">
        <v>31</v>
      </c>
      <c r="L64" s="22" t="s">
        <v>67</v>
      </c>
      <c r="M64" s="11" t="s">
        <v>198</v>
      </c>
      <c r="N64" s="11" t="s">
        <v>199</v>
      </c>
      <c r="O64" s="12">
        <v>43223</v>
      </c>
      <c r="P64" s="13"/>
      <c r="Q64" s="13"/>
    </row>
    <row r="65" spans="2:17" s="4" customFormat="1">
      <c r="B65" s="6" t="s">
        <v>200</v>
      </c>
      <c r="C65" s="51">
        <v>1487902313</v>
      </c>
      <c r="D65" s="51"/>
      <c r="E65" s="52" t="s">
        <v>201</v>
      </c>
      <c r="F65" s="51">
        <v>28503541</v>
      </c>
      <c r="G65" s="44" t="s">
        <v>29</v>
      </c>
      <c r="H65" s="42" t="s">
        <v>30</v>
      </c>
      <c r="I65" s="44">
        <v>1</v>
      </c>
      <c r="J65" s="44" t="s">
        <v>39</v>
      </c>
      <c r="K65" s="44" t="s">
        <v>31</v>
      </c>
      <c r="L65" s="45" t="s">
        <v>40</v>
      </c>
      <c r="M65" s="41" t="s">
        <v>202</v>
      </c>
      <c r="N65" s="41" t="s">
        <v>203</v>
      </c>
      <c r="O65" s="46">
        <v>42797</v>
      </c>
      <c r="P65" s="13"/>
      <c r="Q65" s="13"/>
    </row>
    <row r="66" spans="2:17">
      <c r="B66" s="6" t="s">
        <v>149</v>
      </c>
      <c r="C66" s="51">
        <v>1484454623</v>
      </c>
      <c r="D66" s="51"/>
      <c r="E66" s="44" t="s">
        <v>204</v>
      </c>
      <c r="F66" s="51">
        <v>28503539</v>
      </c>
      <c r="G66" s="44" t="s">
        <v>29</v>
      </c>
      <c r="H66" s="55" t="s">
        <v>30</v>
      </c>
      <c r="I66" s="44">
        <v>1</v>
      </c>
      <c r="J66" s="44" t="s">
        <v>39</v>
      </c>
      <c r="K66" s="44" t="s">
        <v>31</v>
      </c>
      <c r="L66" s="45" t="s">
        <v>40</v>
      </c>
      <c r="M66" s="41">
        <v>615067</v>
      </c>
      <c r="N66" s="41">
        <v>4060166</v>
      </c>
      <c r="O66" s="46">
        <v>42622</v>
      </c>
      <c r="P66" s="13"/>
      <c r="Q66" s="13"/>
    </row>
    <row r="67" spans="2:17">
      <c r="B67" s="6" t="s">
        <v>74</v>
      </c>
      <c r="C67" s="51">
        <v>1484901508</v>
      </c>
      <c r="D67" s="51"/>
      <c r="E67" s="52" t="s">
        <v>205</v>
      </c>
      <c r="F67" s="41">
        <v>28503553</v>
      </c>
      <c r="G67" s="44" t="s">
        <v>29</v>
      </c>
      <c r="H67" s="55" t="s">
        <v>30</v>
      </c>
      <c r="I67" s="44">
        <v>1</v>
      </c>
      <c r="J67" s="44" t="s">
        <v>39</v>
      </c>
      <c r="K67" s="44" t="s">
        <v>31</v>
      </c>
      <c r="L67" s="45" t="s">
        <v>40</v>
      </c>
      <c r="M67" s="39" t="s">
        <v>206</v>
      </c>
      <c r="N67" s="39" t="s">
        <v>207</v>
      </c>
      <c r="O67" s="46">
        <v>42992</v>
      </c>
      <c r="P67" s="13"/>
      <c r="Q67" s="13"/>
    </row>
    <row r="68" spans="2:17" s="4" customFormat="1">
      <c r="B68" s="6" t="s">
        <v>208</v>
      </c>
      <c r="C68" s="11">
        <v>1484901907</v>
      </c>
      <c r="D68" s="11"/>
      <c r="E68" s="16" t="s">
        <v>209</v>
      </c>
      <c r="F68" s="17">
        <v>28503554</v>
      </c>
      <c r="G68" s="16" t="s">
        <v>29</v>
      </c>
      <c r="H68" s="14" t="s">
        <v>30</v>
      </c>
      <c r="I68" s="19">
        <v>1</v>
      </c>
      <c r="J68" s="8" t="s">
        <v>22</v>
      </c>
      <c r="K68" s="8" t="s">
        <v>31</v>
      </c>
      <c r="L68" s="15" t="s">
        <v>32</v>
      </c>
      <c r="M68" s="11" t="s">
        <v>210</v>
      </c>
      <c r="N68" s="11" t="s">
        <v>211</v>
      </c>
      <c r="O68" s="12">
        <v>42991</v>
      </c>
      <c r="P68" s="13"/>
      <c r="Q68" s="13"/>
    </row>
    <row r="69" spans="2:17">
      <c r="B69" s="6" t="s">
        <v>181</v>
      </c>
      <c r="C69" s="7">
        <v>1486300220</v>
      </c>
      <c r="D69" s="7"/>
      <c r="E69" s="8" t="s">
        <v>212</v>
      </c>
      <c r="F69" s="7">
        <v>28503225</v>
      </c>
      <c r="G69" s="8" t="s">
        <v>20</v>
      </c>
      <c r="H69" s="14" t="s">
        <v>21</v>
      </c>
      <c r="I69" s="8">
        <v>1</v>
      </c>
      <c r="J69" s="8" t="s">
        <v>22</v>
      </c>
      <c r="K69" s="8" t="s">
        <v>23</v>
      </c>
      <c r="L69" s="15" t="s">
        <v>32</v>
      </c>
      <c r="M69" s="17" t="s">
        <v>213</v>
      </c>
      <c r="N69" s="17" t="s">
        <v>214</v>
      </c>
      <c r="O69" s="12">
        <v>42656</v>
      </c>
      <c r="P69" s="13"/>
      <c r="Q69" s="13"/>
    </row>
    <row r="70" spans="2:17">
      <c r="B70" s="6" t="s">
        <v>36</v>
      </c>
      <c r="C70" s="7">
        <v>1483900202</v>
      </c>
      <c r="D70" s="7"/>
      <c r="E70" s="8" t="s">
        <v>215</v>
      </c>
      <c r="F70" s="7">
        <v>28220961</v>
      </c>
      <c r="G70" s="8" t="s">
        <v>29</v>
      </c>
      <c r="H70" s="18" t="s">
        <v>21</v>
      </c>
      <c r="I70" s="8">
        <v>1</v>
      </c>
      <c r="J70" s="8" t="s">
        <v>22</v>
      </c>
      <c r="K70" s="8" t="s">
        <v>31</v>
      </c>
      <c r="L70" s="15" t="s">
        <v>32</v>
      </c>
      <c r="M70" s="17">
        <v>507047</v>
      </c>
      <c r="N70" s="17">
        <v>4092178</v>
      </c>
      <c r="O70" s="12">
        <v>42618</v>
      </c>
      <c r="P70" s="13"/>
      <c r="Q70" s="13"/>
    </row>
    <row r="71" spans="2:17" ht="18" customHeight="1">
      <c r="B71" s="6" t="s">
        <v>62</v>
      </c>
      <c r="C71" s="11">
        <v>1489120003</v>
      </c>
      <c r="D71" s="11"/>
      <c r="E71" s="16" t="s">
        <v>216</v>
      </c>
      <c r="F71" s="17"/>
      <c r="G71" s="8" t="s">
        <v>57</v>
      </c>
      <c r="H71" s="14" t="s">
        <v>38</v>
      </c>
      <c r="I71" s="19">
        <v>1</v>
      </c>
      <c r="J71" s="8" t="s">
        <v>22</v>
      </c>
      <c r="K71" s="8" t="s">
        <v>31</v>
      </c>
      <c r="L71" s="15" t="s">
        <v>32</v>
      </c>
      <c r="M71" s="11">
        <v>611973</v>
      </c>
      <c r="N71" s="11">
        <v>3735029</v>
      </c>
      <c r="O71" s="12">
        <v>43445</v>
      </c>
      <c r="P71" s="13"/>
      <c r="Q71" s="13"/>
    </row>
    <row r="72" spans="2:17">
      <c r="B72" s="6" t="s">
        <v>36</v>
      </c>
      <c r="C72" s="7">
        <v>1485602240</v>
      </c>
      <c r="D72" s="7"/>
      <c r="E72" s="25" t="s">
        <v>217</v>
      </c>
      <c r="F72" s="7">
        <v>28220985</v>
      </c>
      <c r="G72" s="8" t="s">
        <v>57</v>
      </c>
      <c r="H72" s="14" t="s">
        <v>38</v>
      </c>
      <c r="I72" s="8">
        <v>1</v>
      </c>
      <c r="J72" s="8" t="s">
        <v>22</v>
      </c>
      <c r="K72" s="8" t="s">
        <v>23</v>
      </c>
      <c r="L72" s="15" t="s">
        <v>40</v>
      </c>
      <c r="M72" s="17" t="s">
        <v>218</v>
      </c>
      <c r="N72" s="17" t="s">
        <v>219</v>
      </c>
      <c r="O72" s="12">
        <v>41067</v>
      </c>
      <c r="P72" s="13"/>
      <c r="Q72" s="13"/>
    </row>
    <row r="73" spans="2:17">
      <c r="B73" s="6" t="s">
        <v>156</v>
      </c>
      <c r="C73" s="7">
        <v>1485504559</v>
      </c>
      <c r="D73" s="7"/>
      <c r="E73" s="25" t="s">
        <v>220</v>
      </c>
      <c r="F73" s="7">
        <v>28220971</v>
      </c>
      <c r="G73" s="8" t="s">
        <v>57</v>
      </c>
      <c r="H73" s="18" t="s">
        <v>38</v>
      </c>
      <c r="I73" s="8">
        <v>1</v>
      </c>
      <c r="J73" s="8" t="s">
        <v>22</v>
      </c>
      <c r="K73" s="8" t="s">
        <v>31</v>
      </c>
      <c r="L73" s="15" t="s">
        <v>40</v>
      </c>
      <c r="M73" s="17" t="s">
        <v>221</v>
      </c>
      <c r="N73" s="17" t="s">
        <v>222</v>
      </c>
      <c r="O73" s="12">
        <v>42768</v>
      </c>
      <c r="P73" s="13"/>
      <c r="Q73" s="13"/>
    </row>
    <row r="74" spans="2:17">
      <c r="B74" s="6" t="s">
        <v>181</v>
      </c>
      <c r="C74" s="11">
        <v>1486300210</v>
      </c>
      <c r="D74" s="11"/>
      <c r="E74" s="16" t="s">
        <v>223</v>
      </c>
      <c r="F74" s="17">
        <v>28503499</v>
      </c>
      <c r="G74" s="8" t="s">
        <v>57</v>
      </c>
      <c r="H74" s="18" t="s">
        <v>38</v>
      </c>
      <c r="I74" s="19">
        <v>1</v>
      </c>
      <c r="J74" s="8" t="s">
        <v>22</v>
      </c>
      <c r="K74" s="8" t="s">
        <v>23</v>
      </c>
      <c r="L74" s="22" t="s">
        <v>32</v>
      </c>
      <c r="M74" s="6" t="s">
        <v>224</v>
      </c>
      <c r="N74" s="11" t="s">
        <v>225</v>
      </c>
      <c r="O74" s="12">
        <v>43062</v>
      </c>
      <c r="P74" s="13"/>
      <c r="Q74" s="13"/>
    </row>
    <row r="75" spans="2:17">
      <c r="B75" s="6" t="s">
        <v>181</v>
      </c>
      <c r="C75" s="11">
        <v>1488300150</v>
      </c>
      <c r="D75" s="11"/>
      <c r="E75" s="16" t="s">
        <v>226</v>
      </c>
      <c r="F75" s="17">
        <v>28503477</v>
      </c>
      <c r="G75" s="8" t="s">
        <v>57</v>
      </c>
      <c r="H75" s="14" t="s">
        <v>38</v>
      </c>
      <c r="I75" s="19">
        <v>1</v>
      </c>
      <c r="J75" s="8" t="s">
        <v>22</v>
      </c>
      <c r="K75" s="8" t="s">
        <v>23</v>
      </c>
      <c r="L75" s="15" t="s">
        <v>40</v>
      </c>
      <c r="M75" s="11" t="s">
        <v>227</v>
      </c>
      <c r="N75" s="11" t="s">
        <v>228</v>
      </c>
      <c r="O75" s="12">
        <v>43062</v>
      </c>
      <c r="P75" s="13"/>
      <c r="Q75" s="13"/>
    </row>
    <row r="76" spans="2:17">
      <c r="B76" s="6" t="s">
        <v>229</v>
      </c>
      <c r="C76" s="23">
        <v>1489300101</v>
      </c>
      <c r="D76" s="23"/>
      <c r="E76" s="28" t="s">
        <v>230</v>
      </c>
      <c r="F76" s="20">
        <v>28220989</v>
      </c>
      <c r="G76" s="21" t="s">
        <v>57</v>
      </c>
      <c r="H76" s="18" t="s">
        <v>38</v>
      </c>
      <c r="I76" s="29">
        <v>1</v>
      </c>
      <c r="J76" s="21" t="s">
        <v>22</v>
      </c>
      <c r="K76" s="21" t="s">
        <v>23</v>
      </c>
      <c r="L76" s="30" t="s">
        <v>67</v>
      </c>
      <c r="M76" s="23">
        <v>646130</v>
      </c>
      <c r="N76" s="23">
        <v>3557098</v>
      </c>
      <c r="O76" s="12">
        <v>43208</v>
      </c>
      <c r="P76" s="13"/>
      <c r="Q76" s="13"/>
    </row>
    <row r="77" spans="2:17" s="4" customFormat="1">
      <c r="B77" s="6" t="s">
        <v>229</v>
      </c>
      <c r="C77" s="23">
        <v>1489300301</v>
      </c>
      <c r="D77" s="23"/>
      <c r="E77" s="28" t="s">
        <v>231</v>
      </c>
      <c r="F77" s="20">
        <v>28220972</v>
      </c>
      <c r="G77" s="21" t="s">
        <v>57</v>
      </c>
      <c r="H77" s="14" t="s">
        <v>21</v>
      </c>
      <c r="I77" s="29">
        <v>1</v>
      </c>
      <c r="J77" s="21" t="s">
        <v>22</v>
      </c>
      <c r="K77" s="21" t="s">
        <v>23</v>
      </c>
      <c r="L77" s="30" t="s">
        <v>67</v>
      </c>
      <c r="M77" s="23" t="s">
        <v>232</v>
      </c>
      <c r="N77" s="23" t="s">
        <v>233</v>
      </c>
      <c r="O77" s="12">
        <v>43223</v>
      </c>
      <c r="P77" s="13"/>
      <c r="Q77" s="13"/>
    </row>
    <row r="78" spans="2:17" s="4" customFormat="1">
      <c r="B78" s="6" t="s">
        <v>62</v>
      </c>
      <c r="C78" s="11">
        <v>1489803560</v>
      </c>
      <c r="D78" s="11"/>
      <c r="E78" s="16" t="s">
        <v>234</v>
      </c>
      <c r="F78" s="17">
        <v>28220975</v>
      </c>
      <c r="G78" s="8" t="s">
        <v>57</v>
      </c>
      <c r="H78" s="18" t="s">
        <v>38</v>
      </c>
      <c r="I78" s="19">
        <v>1</v>
      </c>
      <c r="J78" s="8" t="s">
        <v>22</v>
      </c>
      <c r="K78" s="8" t="s">
        <v>31</v>
      </c>
      <c r="L78" s="22" t="s">
        <v>32</v>
      </c>
      <c r="M78" s="11" t="s">
        <v>235</v>
      </c>
      <c r="N78" s="11" t="s">
        <v>236</v>
      </c>
      <c r="O78" s="12">
        <v>43132</v>
      </c>
      <c r="P78" s="13"/>
      <c r="Q78" s="13"/>
    </row>
    <row r="79" spans="2:17">
      <c r="B79" s="6" t="s">
        <v>82</v>
      </c>
      <c r="C79" s="17">
        <v>1486000140</v>
      </c>
      <c r="D79" s="17"/>
      <c r="E79" s="6" t="s">
        <v>237</v>
      </c>
      <c r="F79" s="17"/>
      <c r="G79" s="6" t="s">
        <v>57</v>
      </c>
      <c r="H79" s="14" t="s">
        <v>38</v>
      </c>
      <c r="I79" s="6">
        <v>1</v>
      </c>
      <c r="J79" s="6" t="s">
        <v>22</v>
      </c>
      <c r="K79" s="8" t="s">
        <v>31</v>
      </c>
      <c r="L79" s="15" t="s">
        <v>32</v>
      </c>
      <c r="M79" s="6">
        <v>573925</v>
      </c>
      <c r="N79" s="17">
        <v>3988891</v>
      </c>
      <c r="O79" s="12">
        <v>45007</v>
      </c>
      <c r="P79" s="13"/>
      <c r="Q79" s="13"/>
    </row>
    <row r="80" spans="2:17">
      <c r="B80" s="6" t="s">
        <v>82</v>
      </c>
      <c r="C80" s="17">
        <v>1486000150</v>
      </c>
      <c r="D80" s="17"/>
      <c r="E80" s="6" t="s">
        <v>238</v>
      </c>
      <c r="F80" s="17"/>
      <c r="G80" s="6" t="s">
        <v>57</v>
      </c>
      <c r="H80" s="18" t="s">
        <v>38</v>
      </c>
      <c r="I80" s="6">
        <v>1</v>
      </c>
      <c r="J80" s="6" t="s">
        <v>22</v>
      </c>
      <c r="K80" s="8" t="s">
        <v>31</v>
      </c>
      <c r="L80" s="15" t="s">
        <v>40</v>
      </c>
      <c r="M80" s="6">
        <v>593659</v>
      </c>
      <c r="N80" s="17">
        <v>3984625</v>
      </c>
      <c r="O80" s="12">
        <v>44993</v>
      </c>
      <c r="P80" s="13"/>
      <c r="Q80" s="13"/>
    </row>
    <row r="81" spans="2:17">
      <c r="B81" s="6" t="s">
        <v>208</v>
      </c>
      <c r="C81" s="7">
        <v>1484800540</v>
      </c>
      <c r="D81" s="7"/>
      <c r="E81" s="8" t="s">
        <v>239</v>
      </c>
      <c r="F81" s="7">
        <v>28503552</v>
      </c>
      <c r="G81" s="8" t="s">
        <v>57</v>
      </c>
      <c r="H81" s="18" t="s">
        <v>38</v>
      </c>
      <c r="I81" s="8">
        <v>1</v>
      </c>
      <c r="J81" s="8" t="s">
        <v>22</v>
      </c>
      <c r="K81" s="8" t="s">
        <v>31</v>
      </c>
      <c r="L81" s="22" t="s">
        <v>48</v>
      </c>
      <c r="M81" s="17" t="s">
        <v>240</v>
      </c>
      <c r="N81" s="17" t="s">
        <v>241</v>
      </c>
      <c r="O81" s="12">
        <v>41442</v>
      </c>
      <c r="P81" s="13"/>
      <c r="Q81" s="13"/>
    </row>
    <row r="82" spans="2:17">
      <c r="B82" s="6" t="s">
        <v>136</v>
      </c>
      <c r="C82" s="7">
        <v>1485104380</v>
      </c>
      <c r="D82" s="7"/>
      <c r="E82" s="25" t="s">
        <v>242</v>
      </c>
      <c r="F82" s="7">
        <v>28220981</v>
      </c>
      <c r="G82" s="8" t="s">
        <v>57</v>
      </c>
      <c r="H82" s="18" t="s">
        <v>38</v>
      </c>
      <c r="I82" s="8">
        <v>1</v>
      </c>
      <c r="J82" s="8" t="s">
        <v>22</v>
      </c>
      <c r="K82" s="8" t="s">
        <v>31</v>
      </c>
      <c r="L82" s="22" t="s">
        <v>67</v>
      </c>
      <c r="M82" s="17" t="s">
        <v>243</v>
      </c>
      <c r="N82" s="17" t="s">
        <v>244</v>
      </c>
      <c r="O82" s="12">
        <v>40925</v>
      </c>
      <c r="P82" s="13"/>
      <c r="Q82" s="13"/>
    </row>
    <row r="83" spans="2:17">
      <c r="B83" s="6" t="s">
        <v>136</v>
      </c>
      <c r="C83" s="7">
        <v>1485100506</v>
      </c>
      <c r="D83" s="7"/>
      <c r="E83" s="25" t="s">
        <v>245</v>
      </c>
      <c r="F83" s="7">
        <v>28503412</v>
      </c>
      <c r="G83" s="8" t="s">
        <v>20</v>
      </c>
      <c r="H83" s="14" t="s">
        <v>38</v>
      </c>
      <c r="I83" s="8">
        <v>1</v>
      </c>
      <c r="J83" s="8" t="s">
        <v>22</v>
      </c>
      <c r="K83" s="8" t="s">
        <v>31</v>
      </c>
      <c r="L83" s="15" t="s">
        <v>40</v>
      </c>
      <c r="M83" s="17">
        <v>460836</v>
      </c>
      <c r="N83" s="17">
        <v>3962626</v>
      </c>
      <c r="O83" s="12">
        <v>40987</v>
      </c>
      <c r="P83" s="13"/>
      <c r="Q83" s="13"/>
    </row>
    <row r="84" spans="2:17">
      <c r="B84" s="6" t="s">
        <v>107</v>
      </c>
      <c r="C84" s="51">
        <v>1485900188</v>
      </c>
      <c r="D84" s="51"/>
      <c r="E84" s="44" t="s">
        <v>246</v>
      </c>
      <c r="F84" s="51">
        <v>28503572</v>
      </c>
      <c r="G84" s="44" t="s">
        <v>57</v>
      </c>
      <c r="H84" s="55" t="s">
        <v>38</v>
      </c>
      <c r="I84" s="44">
        <v>1</v>
      </c>
      <c r="J84" s="44" t="s">
        <v>39</v>
      </c>
      <c r="K84" s="44" t="s">
        <v>31</v>
      </c>
      <c r="L84" s="45" t="s">
        <v>40</v>
      </c>
      <c r="M84" s="41" t="s">
        <v>247</v>
      </c>
      <c r="N84" s="41" t="s">
        <v>248</v>
      </c>
      <c r="O84" s="46">
        <v>40841</v>
      </c>
      <c r="P84" s="13"/>
      <c r="Q84" s="13"/>
    </row>
    <row r="85" spans="2:17">
      <c r="B85" s="6" t="s">
        <v>27</v>
      </c>
      <c r="C85" s="51">
        <v>1485001160</v>
      </c>
      <c r="D85" s="51"/>
      <c r="E85" s="44" t="s">
        <v>249</v>
      </c>
      <c r="F85" s="51">
        <v>28503562</v>
      </c>
      <c r="G85" s="44" t="s">
        <v>57</v>
      </c>
      <c r="H85" s="55" t="s">
        <v>21</v>
      </c>
      <c r="I85" s="44">
        <v>1</v>
      </c>
      <c r="J85" s="44" t="s">
        <v>39</v>
      </c>
      <c r="K85" s="44" t="s">
        <v>31</v>
      </c>
      <c r="L85" s="45" t="s">
        <v>40</v>
      </c>
      <c r="M85" s="41" t="s">
        <v>250</v>
      </c>
      <c r="N85" s="41" t="s">
        <v>251</v>
      </c>
      <c r="O85" s="39" t="s">
        <v>252</v>
      </c>
      <c r="P85" s="13"/>
      <c r="Q85" s="13"/>
    </row>
    <row r="86" spans="2:17">
      <c r="B86" s="6" t="s">
        <v>253</v>
      </c>
      <c r="C86" s="51">
        <v>1484951606</v>
      </c>
      <c r="D86" s="51"/>
      <c r="E86" s="44" t="s">
        <v>254</v>
      </c>
      <c r="F86" s="51">
        <v>28503636</v>
      </c>
      <c r="G86" s="44" t="s">
        <v>29</v>
      </c>
      <c r="H86" s="55" t="s">
        <v>30</v>
      </c>
      <c r="I86" s="44">
        <v>1</v>
      </c>
      <c r="J86" s="44" t="s">
        <v>39</v>
      </c>
      <c r="K86" s="44" t="s">
        <v>31</v>
      </c>
      <c r="L86" s="45" t="s">
        <v>40</v>
      </c>
      <c r="M86" s="41" t="s">
        <v>255</v>
      </c>
      <c r="N86" s="41" t="s">
        <v>256</v>
      </c>
      <c r="O86" s="46">
        <v>42578</v>
      </c>
      <c r="P86" s="13"/>
      <c r="Q86" s="13"/>
    </row>
    <row r="87" spans="2:17">
      <c r="B87" s="6" t="s">
        <v>18</v>
      </c>
      <c r="C87" s="51">
        <v>1486941009</v>
      </c>
      <c r="D87" s="51"/>
      <c r="E87" s="44" t="s">
        <v>257</v>
      </c>
      <c r="F87" s="51">
        <v>28503560</v>
      </c>
      <c r="G87" s="44" t="s">
        <v>29</v>
      </c>
      <c r="H87" s="55" t="s">
        <v>30</v>
      </c>
      <c r="I87" s="44">
        <v>1</v>
      </c>
      <c r="J87" s="44" t="s">
        <v>39</v>
      </c>
      <c r="K87" s="44" t="s">
        <v>31</v>
      </c>
      <c r="L87" s="45" t="s">
        <v>40</v>
      </c>
      <c r="M87" s="41" t="s">
        <v>258</v>
      </c>
      <c r="N87" s="41" t="s">
        <v>259</v>
      </c>
      <c r="O87" s="46">
        <v>42706</v>
      </c>
      <c r="P87" s="13"/>
      <c r="Q87" s="13"/>
    </row>
    <row r="88" spans="2:17" s="4" customFormat="1">
      <c r="B88" s="6" t="s">
        <v>253</v>
      </c>
      <c r="C88" s="7">
        <v>1484109850</v>
      </c>
      <c r="D88" s="7"/>
      <c r="E88" s="8" t="s">
        <v>260</v>
      </c>
      <c r="F88" s="7">
        <v>28503584</v>
      </c>
      <c r="G88" s="8" t="s">
        <v>57</v>
      </c>
      <c r="H88" s="18" t="s">
        <v>21</v>
      </c>
      <c r="I88" s="8">
        <v>1</v>
      </c>
      <c r="J88" s="8" t="s">
        <v>22</v>
      </c>
      <c r="K88" s="8" t="s">
        <v>23</v>
      </c>
      <c r="L88" s="15" t="s">
        <v>40</v>
      </c>
      <c r="M88" s="17" t="s">
        <v>261</v>
      </c>
      <c r="N88" s="17" t="s">
        <v>262</v>
      </c>
      <c r="O88" s="12">
        <v>42730</v>
      </c>
      <c r="P88" s="13"/>
      <c r="Q88" s="13"/>
    </row>
    <row r="89" spans="2:17">
      <c r="B89" s="6" t="s">
        <v>263</v>
      </c>
      <c r="C89" s="7">
        <v>1487904215</v>
      </c>
      <c r="D89" s="7"/>
      <c r="E89" s="25" t="s">
        <v>264</v>
      </c>
      <c r="F89" s="7">
        <v>28503430</v>
      </c>
      <c r="G89" s="8" t="s">
        <v>29</v>
      </c>
      <c r="H89" s="18" t="s">
        <v>30</v>
      </c>
      <c r="I89" s="8">
        <v>1</v>
      </c>
      <c r="J89" s="8" t="s">
        <v>22</v>
      </c>
      <c r="K89" s="8" t="s">
        <v>23</v>
      </c>
      <c r="L89" s="15" t="s">
        <v>32</v>
      </c>
      <c r="M89" s="17" t="s">
        <v>265</v>
      </c>
      <c r="N89" s="17" t="s">
        <v>266</v>
      </c>
      <c r="O89" s="12">
        <v>42804</v>
      </c>
      <c r="P89" s="13"/>
      <c r="Q89" s="13"/>
    </row>
    <row r="90" spans="2:17">
      <c r="B90" s="6" t="s">
        <v>156</v>
      </c>
      <c r="C90" s="7">
        <v>1485625024</v>
      </c>
      <c r="D90" s="7"/>
      <c r="E90" s="25" t="s">
        <v>267</v>
      </c>
      <c r="F90" s="7">
        <v>28503588</v>
      </c>
      <c r="G90" s="8" t="s">
        <v>29</v>
      </c>
      <c r="H90" s="14" t="s">
        <v>30</v>
      </c>
      <c r="I90" s="8">
        <v>1</v>
      </c>
      <c r="J90" s="8" t="s">
        <v>22</v>
      </c>
      <c r="K90" s="8" t="s">
        <v>23</v>
      </c>
      <c r="L90" s="22" t="s">
        <v>32</v>
      </c>
      <c r="M90" s="17" t="s">
        <v>268</v>
      </c>
      <c r="N90" s="17" t="s">
        <v>269</v>
      </c>
      <c r="O90" s="12">
        <v>42635</v>
      </c>
      <c r="P90" s="13"/>
      <c r="Q90" s="13"/>
    </row>
    <row r="91" spans="2:17">
      <c r="B91" s="6" t="s">
        <v>181</v>
      </c>
      <c r="C91" s="7">
        <v>1486929710</v>
      </c>
      <c r="D91" s="7"/>
      <c r="E91" s="25" t="s">
        <v>270</v>
      </c>
      <c r="F91" s="7">
        <v>28503565</v>
      </c>
      <c r="G91" s="8" t="s">
        <v>29</v>
      </c>
      <c r="H91" s="18" t="s">
        <v>30</v>
      </c>
      <c r="I91" s="8">
        <v>1</v>
      </c>
      <c r="J91" s="8" t="s">
        <v>22</v>
      </c>
      <c r="K91" s="8" t="s">
        <v>23</v>
      </c>
      <c r="L91" s="22" t="s">
        <v>271</v>
      </c>
      <c r="M91" s="17" t="s">
        <v>272</v>
      </c>
      <c r="N91" s="17" t="s">
        <v>273</v>
      </c>
      <c r="O91" s="12">
        <v>42654</v>
      </c>
      <c r="P91" s="13"/>
      <c r="Q91" s="13"/>
    </row>
    <row r="92" spans="2:17">
      <c r="B92" s="6" t="s">
        <v>36</v>
      </c>
      <c r="C92" s="41">
        <v>1485400190</v>
      </c>
      <c r="D92" s="41"/>
      <c r="E92" s="63" t="s">
        <v>274</v>
      </c>
      <c r="F92" s="41"/>
      <c r="G92" s="63" t="s">
        <v>57</v>
      </c>
      <c r="H92" s="42" t="s">
        <v>38</v>
      </c>
      <c r="I92" s="63">
        <v>1</v>
      </c>
      <c r="J92" s="63" t="s">
        <v>39</v>
      </c>
      <c r="K92" s="44" t="s">
        <v>31</v>
      </c>
      <c r="L92" s="45" t="s">
        <v>40</v>
      </c>
      <c r="M92" s="63" t="s">
        <v>275</v>
      </c>
      <c r="N92" s="63" t="s">
        <v>276</v>
      </c>
      <c r="O92" s="46">
        <v>43637</v>
      </c>
      <c r="P92" s="13"/>
      <c r="Q92" s="13"/>
    </row>
    <row r="93" spans="2:17" ht="30">
      <c r="B93" s="6" t="s">
        <v>136</v>
      </c>
      <c r="C93" s="7">
        <v>1485201355</v>
      </c>
      <c r="D93" s="7"/>
      <c r="E93" s="8" t="s">
        <v>277</v>
      </c>
      <c r="F93" s="7"/>
      <c r="G93" s="8" t="s">
        <v>20</v>
      </c>
      <c r="H93" s="18" t="s">
        <v>21</v>
      </c>
      <c r="I93" s="8">
        <v>1</v>
      </c>
      <c r="J93" s="8" t="s">
        <v>22</v>
      </c>
      <c r="K93" s="8" t="s">
        <v>31</v>
      </c>
      <c r="L93" s="22" t="s">
        <v>278</v>
      </c>
      <c r="M93" s="17" t="s">
        <v>279</v>
      </c>
      <c r="N93" s="17" t="s">
        <v>280</v>
      </c>
      <c r="O93" s="12">
        <v>41114</v>
      </c>
      <c r="P93" s="13"/>
      <c r="Q93" s="13"/>
    </row>
    <row r="94" spans="2:17">
      <c r="B94" s="6" t="s">
        <v>107</v>
      </c>
      <c r="C94" s="51">
        <v>1485667322</v>
      </c>
      <c r="D94" s="51"/>
      <c r="E94" s="52" t="s">
        <v>281</v>
      </c>
      <c r="F94" s="51">
        <v>28220977</v>
      </c>
      <c r="G94" s="44" t="s">
        <v>29</v>
      </c>
      <c r="H94" s="42" t="s">
        <v>30</v>
      </c>
      <c r="I94" s="44">
        <v>1</v>
      </c>
      <c r="J94" s="44" t="s">
        <v>39</v>
      </c>
      <c r="K94" s="44" t="s">
        <v>31</v>
      </c>
      <c r="L94" s="45" t="s">
        <v>40</v>
      </c>
      <c r="M94" s="41" t="s">
        <v>282</v>
      </c>
      <c r="N94" s="41" t="s">
        <v>283</v>
      </c>
      <c r="O94" s="46">
        <v>42621</v>
      </c>
      <c r="P94" s="13"/>
      <c r="Q94" s="13"/>
    </row>
    <row r="95" spans="2:17">
      <c r="B95" s="6" t="s">
        <v>156</v>
      </c>
      <c r="C95" s="7">
        <v>1485676424</v>
      </c>
      <c r="D95" s="7"/>
      <c r="E95" s="25" t="s">
        <v>284</v>
      </c>
      <c r="F95" s="7">
        <v>28220965</v>
      </c>
      <c r="G95" s="8" t="s">
        <v>29</v>
      </c>
      <c r="H95" s="18" t="s">
        <v>30</v>
      </c>
      <c r="I95" s="8">
        <v>1</v>
      </c>
      <c r="J95" s="8" t="s">
        <v>22</v>
      </c>
      <c r="K95" s="8" t="s">
        <v>31</v>
      </c>
      <c r="L95" s="15" t="s">
        <v>32</v>
      </c>
      <c r="M95" s="17">
        <v>538958</v>
      </c>
      <c r="N95" s="17" t="s">
        <v>285</v>
      </c>
      <c r="O95" s="12">
        <v>42635</v>
      </c>
      <c r="P95" s="13"/>
      <c r="Q95" s="13"/>
    </row>
    <row r="96" spans="2:17">
      <c r="B96" s="6" t="s">
        <v>36</v>
      </c>
      <c r="C96" s="7">
        <v>1485501635</v>
      </c>
      <c r="D96" s="7"/>
      <c r="E96" s="25" t="s">
        <v>286</v>
      </c>
      <c r="F96" s="7">
        <v>28503591</v>
      </c>
      <c r="G96" s="8" t="s">
        <v>20</v>
      </c>
      <c r="H96" s="14" t="s">
        <v>21</v>
      </c>
      <c r="I96" s="8">
        <v>1</v>
      </c>
      <c r="J96" s="8" t="s">
        <v>22</v>
      </c>
      <c r="K96" s="8" t="s">
        <v>31</v>
      </c>
      <c r="L96" s="22" t="s">
        <v>32</v>
      </c>
      <c r="M96" s="17" t="s">
        <v>287</v>
      </c>
      <c r="N96" s="17" t="s">
        <v>288</v>
      </c>
      <c r="O96" s="12">
        <v>41173</v>
      </c>
      <c r="P96" s="13"/>
      <c r="Q96" s="13"/>
    </row>
    <row r="97" spans="2:17">
      <c r="B97" s="6" t="s">
        <v>156</v>
      </c>
      <c r="C97" s="7">
        <v>1485501610</v>
      </c>
      <c r="D97" s="7"/>
      <c r="E97" s="8" t="s">
        <v>289</v>
      </c>
      <c r="F97" s="7">
        <v>28503515</v>
      </c>
      <c r="G97" s="8" t="s">
        <v>57</v>
      </c>
      <c r="H97" s="14" t="s">
        <v>38</v>
      </c>
      <c r="I97" s="8">
        <v>1</v>
      </c>
      <c r="J97" s="8" t="s">
        <v>22</v>
      </c>
      <c r="K97" s="8" t="s">
        <v>31</v>
      </c>
      <c r="L97" s="15" t="s">
        <v>40</v>
      </c>
      <c r="M97" s="17" t="s">
        <v>290</v>
      </c>
      <c r="N97" s="17" t="s">
        <v>291</v>
      </c>
      <c r="O97" s="12">
        <v>41443</v>
      </c>
      <c r="P97" s="13"/>
      <c r="Q97" s="13"/>
    </row>
    <row r="98" spans="2:17">
      <c r="B98" s="6" t="s">
        <v>263</v>
      </c>
      <c r="C98" s="7">
        <v>1487980015</v>
      </c>
      <c r="D98" s="7"/>
      <c r="E98" s="25" t="s">
        <v>292</v>
      </c>
      <c r="F98" s="7">
        <v>28503585</v>
      </c>
      <c r="G98" s="8" t="s">
        <v>29</v>
      </c>
      <c r="H98" s="14" t="s">
        <v>30</v>
      </c>
      <c r="I98" s="8">
        <v>1</v>
      </c>
      <c r="J98" s="8" t="s">
        <v>22</v>
      </c>
      <c r="K98" s="8" t="s">
        <v>23</v>
      </c>
      <c r="L98" s="15" t="s">
        <v>32</v>
      </c>
      <c r="M98" s="17" t="s">
        <v>293</v>
      </c>
      <c r="N98" s="17" t="s">
        <v>294</v>
      </c>
      <c r="O98" s="12">
        <v>42804</v>
      </c>
      <c r="P98" s="13"/>
      <c r="Q98" s="13"/>
    </row>
    <row r="99" spans="2:17">
      <c r="B99" s="6" t="s">
        <v>82</v>
      </c>
      <c r="C99" s="7">
        <v>1486100340</v>
      </c>
      <c r="D99" s="7"/>
      <c r="E99" s="8" t="s">
        <v>295</v>
      </c>
      <c r="F99" s="7">
        <v>28503584</v>
      </c>
      <c r="G99" s="8" t="s">
        <v>20</v>
      </c>
      <c r="H99" s="14" t="s">
        <v>21</v>
      </c>
      <c r="I99" s="8">
        <v>1</v>
      </c>
      <c r="J99" s="8" t="s">
        <v>22</v>
      </c>
      <c r="K99" s="8" t="s">
        <v>31</v>
      </c>
      <c r="L99" s="22" t="s">
        <v>158</v>
      </c>
      <c r="M99" s="17" t="s">
        <v>296</v>
      </c>
      <c r="N99" s="17" t="s">
        <v>297</v>
      </c>
      <c r="O99" s="12">
        <v>41586</v>
      </c>
      <c r="P99" s="13"/>
      <c r="Q99" s="13"/>
    </row>
    <row r="100" spans="2:17">
      <c r="B100" s="6" t="s">
        <v>36</v>
      </c>
      <c r="C100" s="51">
        <v>1485900130</v>
      </c>
      <c r="D100" s="51"/>
      <c r="E100" s="44" t="s">
        <v>298</v>
      </c>
      <c r="F100" s="51">
        <v>28503537</v>
      </c>
      <c r="G100" s="44" t="s">
        <v>20</v>
      </c>
      <c r="H100" s="55" t="s">
        <v>21</v>
      </c>
      <c r="I100" s="44">
        <v>1</v>
      </c>
      <c r="J100" s="44" t="s">
        <v>39</v>
      </c>
      <c r="K100" s="44" t="s">
        <v>31</v>
      </c>
      <c r="L100" s="45" t="s">
        <v>40</v>
      </c>
      <c r="M100" s="41" t="s">
        <v>299</v>
      </c>
      <c r="N100" s="41" t="s">
        <v>300</v>
      </c>
      <c r="O100" s="46">
        <v>40842</v>
      </c>
      <c r="P100" s="13"/>
      <c r="Q100" s="13"/>
    </row>
    <row r="101" spans="2:17">
      <c r="B101" s="6" t="s">
        <v>95</v>
      </c>
      <c r="C101" s="7">
        <v>1488904716</v>
      </c>
      <c r="D101" s="7"/>
      <c r="E101" s="25" t="s">
        <v>301</v>
      </c>
      <c r="F101" s="17">
        <v>28220990</v>
      </c>
      <c r="G101" s="8" t="s">
        <v>29</v>
      </c>
      <c r="H101" s="18" t="s">
        <v>30</v>
      </c>
      <c r="I101" s="8">
        <v>1</v>
      </c>
      <c r="J101" s="8" t="s">
        <v>22</v>
      </c>
      <c r="K101" s="8" t="s">
        <v>23</v>
      </c>
      <c r="L101" s="15" t="s">
        <v>32</v>
      </c>
      <c r="M101" s="11" t="s">
        <v>302</v>
      </c>
      <c r="N101" s="11" t="s">
        <v>303</v>
      </c>
      <c r="O101" s="12">
        <v>43040</v>
      </c>
      <c r="P101" s="13"/>
      <c r="Q101" s="13"/>
    </row>
    <row r="102" spans="2:17">
      <c r="B102" s="6" t="s">
        <v>161</v>
      </c>
      <c r="C102" s="7">
        <v>1487997514</v>
      </c>
      <c r="D102" s="7"/>
      <c r="E102" s="25" t="s">
        <v>304</v>
      </c>
      <c r="F102" s="7">
        <v>28503520</v>
      </c>
      <c r="G102" s="8" t="s">
        <v>29</v>
      </c>
      <c r="H102" s="18" t="s">
        <v>30</v>
      </c>
      <c r="I102" s="8">
        <v>1</v>
      </c>
      <c r="J102" s="8" t="s">
        <v>22</v>
      </c>
      <c r="K102" s="8" t="s">
        <v>31</v>
      </c>
      <c r="L102" s="22" t="s">
        <v>67</v>
      </c>
      <c r="M102" s="17" t="s">
        <v>305</v>
      </c>
      <c r="N102" s="17" t="s">
        <v>306</v>
      </c>
      <c r="O102" s="12">
        <v>42797</v>
      </c>
      <c r="P102" s="13"/>
      <c r="Q102" s="13"/>
    </row>
    <row r="103" spans="2:17">
      <c r="B103" s="6" t="s">
        <v>107</v>
      </c>
      <c r="C103" s="51">
        <v>1484705412</v>
      </c>
      <c r="D103" s="51"/>
      <c r="E103" s="44" t="s">
        <v>307</v>
      </c>
      <c r="F103" s="51">
        <v>28503424</v>
      </c>
      <c r="G103" s="44" t="s">
        <v>29</v>
      </c>
      <c r="H103" s="55" t="s">
        <v>30</v>
      </c>
      <c r="I103" s="44">
        <v>1</v>
      </c>
      <c r="J103" s="44" t="s">
        <v>39</v>
      </c>
      <c r="K103" s="44" t="s">
        <v>31</v>
      </c>
      <c r="L103" s="45" t="s">
        <v>40</v>
      </c>
      <c r="M103" s="41">
        <v>607473</v>
      </c>
      <c r="N103" s="41">
        <v>4079914</v>
      </c>
      <c r="O103" s="46">
        <v>42621</v>
      </c>
      <c r="P103" s="13"/>
      <c r="Q103" s="13"/>
    </row>
    <row r="104" spans="2:17">
      <c r="B104" s="6" t="s">
        <v>86</v>
      </c>
      <c r="C104" s="51">
        <v>1487907212</v>
      </c>
      <c r="D104" s="51"/>
      <c r="E104" s="44" t="s">
        <v>308</v>
      </c>
      <c r="F104" s="51">
        <v>28503635</v>
      </c>
      <c r="G104" s="44" t="s">
        <v>29</v>
      </c>
      <c r="H104" s="55" t="s">
        <v>30</v>
      </c>
      <c r="I104" s="44">
        <v>1</v>
      </c>
      <c r="J104" s="52" t="s">
        <v>39</v>
      </c>
      <c r="K104" s="44" t="s">
        <v>31</v>
      </c>
      <c r="L104" s="45" t="s">
        <v>40</v>
      </c>
      <c r="M104" s="41" t="s">
        <v>309</v>
      </c>
      <c r="N104" s="41" t="s">
        <v>310</v>
      </c>
      <c r="O104" s="46">
        <v>42803</v>
      </c>
      <c r="P104" s="13"/>
      <c r="Q104" s="13"/>
    </row>
    <row r="105" spans="2:17">
      <c r="B105" s="6" t="s">
        <v>27</v>
      </c>
      <c r="C105" s="7">
        <v>1483926801</v>
      </c>
      <c r="D105" s="7"/>
      <c r="E105" s="8" t="s">
        <v>311</v>
      </c>
      <c r="F105" s="7">
        <v>28220963</v>
      </c>
      <c r="G105" s="8" t="s">
        <v>29</v>
      </c>
      <c r="H105" s="18" t="s">
        <v>30</v>
      </c>
      <c r="I105" s="8">
        <v>1</v>
      </c>
      <c r="J105" s="8" t="s">
        <v>22</v>
      </c>
      <c r="K105" s="8" t="s">
        <v>31</v>
      </c>
      <c r="L105" s="15" t="s">
        <v>32</v>
      </c>
      <c r="M105" s="17" t="s">
        <v>312</v>
      </c>
      <c r="N105" s="17" t="s">
        <v>313</v>
      </c>
      <c r="O105" s="31">
        <v>41810</v>
      </c>
      <c r="P105" s="13"/>
      <c r="Q105" s="13"/>
    </row>
    <row r="106" spans="2:17">
      <c r="B106" s="6" t="s">
        <v>314</v>
      </c>
      <c r="C106" s="7">
        <v>1488905517</v>
      </c>
      <c r="D106" s="7"/>
      <c r="E106" s="25" t="s">
        <v>315</v>
      </c>
      <c r="F106" s="17">
        <v>28503637</v>
      </c>
      <c r="G106" s="8" t="s">
        <v>29</v>
      </c>
      <c r="H106" s="14" t="s">
        <v>30</v>
      </c>
      <c r="I106" s="8">
        <v>1</v>
      </c>
      <c r="J106" s="8" t="s">
        <v>22</v>
      </c>
      <c r="K106" s="8" t="s">
        <v>23</v>
      </c>
      <c r="L106" s="15" t="s">
        <v>32</v>
      </c>
      <c r="M106" s="11" t="s">
        <v>316</v>
      </c>
      <c r="N106" s="11" t="s">
        <v>317</v>
      </c>
      <c r="O106" s="12">
        <v>43035</v>
      </c>
      <c r="P106" s="13"/>
      <c r="Q106" s="13"/>
    </row>
    <row r="107" spans="2:17">
      <c r="B107" s="6" t="s">
        <v>229</v>
      </c>
      <c r="C107" s="7">
        <v>1489944721</v>
      </c>
      <c r="D107" s="7"/>
      <c r="E107" s="25" t="s">
        <v>318</v>
      </c>
      <c r="F107" s="17">
        <v>28220992</v>
      </c>
      <c r="G107" s="8" t="s">
        <v>29</v>
      </c>
      <c r="H107" s="18" t="s">
        <v>30</v>
      </c>
      <c r="I107" s="8">
        <v>1</v>
      </c>
      <c r="J107" s="8" t="s">
        <v>22</v>
      </c>
      <c r="K107" s="8" t="s">
        <v>23</v>
      </c>
      <c r="L107" s="22" t="s">
        <v>67</v>
      </c>
      <c r="M107" s="11" t="s">
        <v>319</v>
      </c>
      <c r="N107" s="11" t="s">
        <v>320</v>
      </c>
      <c r="O107" s="12">
        <v>42923</v>
      </c>
      <c r="P107" s="13"/>
      <c r="Q107" s="13"/>
    </row>
    <row r="108" spans="2:17">
      <c r="B108" s="6" t="s">
        <v>208</v>
      </c>
      <c r="C108" s="51">
        <v>1484100110</v>
      </c>
      <c r="D108" s="51"/>
      <c r="E108" s="44" t="s">
        <v>321</v>
      </c>
      <c r="F108" s="51">
        <v>28220964</v>
      </c>
      <c r="G108" s="44" t="s">
        <v>57</v>
      </c>
      <c r="H108" s="55" t="s">
        <v>38</v>
      </c>
      <c r="I108" s="44">
        <v>1</v>
      </c>
      <c r="J108" s="44" t="s">
        <v>39</v>
      </c>
      <c r="K108" s="44" t="s">
        <v>31</v>
      </c>
      <c r="L108" s="45" t="s">
        <v>40</v>
      </c>
      <c r="M108" s="41" t="s">
        <v>322</v>
      </c>
      <c r="N108" s="41" t="s">
        <v>323</v>
      </c>
      <c r="O108" s="46">
        <v>40251</v>
      </c>
      <c r="P108" s="13"/>
      <c r="Q108" s="13"/>
    </row>
    <row r="109" spans="2:17">
      <c r="B109" s="6" t="s">
        <v>136</v>
      </c>
      <c r="C109" s="7">
        <v>1485201356</v>
      </c>
      <c r="D109" s="7"/>
      <c r="E109" s="8" t="s">
        <v>324</v>
      </c>
      <c r="F109" s="7">
        <v>28503411</v>
      </c>
      <c r="G109" s="8" t="s">
        <v>57</v>
      </c>
      <c r="H109" s="14" t="s">
        <v>38</v>
      </c>
      <c r="I109" s="8">
        <v>1</v>
      </c>
      <c r="J109" s="8" t="s">
        <v>22</v>
      </c>
      <c r="K109" s="8" t="s">
        <v>31</v>
      </c>
      <c r="L109" s="15" t="s">
        <v>40</v>
      </c>
      <c r="M109" s="17" t="s">
        <v>325</v>
      </c>
      <c r="N109" s="17" t="s">
        <v>326</v>
      </c>
      <c r="O109" s="12">
        <v>41114</v>
      </c>
      <c r="P109" s="13"/>
      <c r="Q109" s="13"/>
    </row>
    <row r="110" spans="2:17">
      <c r="B110" s="6" t="s">
        <v>43</v>
      </c>
      <c r="C110" s="7">
        <v>1483602040</v>
      </c>
      <c r="D110" s="7"/>
      <c r="E110" s="8" t="s">
        <v>327</v>
      </c>
      <c r="F110" s="7">
        <v>28220994</v>
      </c>
      <c r="G110" s="8" t="s">
        <v>57</v>
      </c>
      <c r="H110" s="14" t="s">
        <v>21</v>
      </c>
      <c r="I110" s="8">
        <v>1</v>
      </c>
      <c r="J110" s="8" t="s">
        <v>22</v>
      </c>
      <c r="K110" s="8" t="s">
        <v>31</v>
      </c>
      <c r="L110" s="22" t="s">
        <v>115</v>
      </c>
      <c r="M110" s="17" t="s">
        <v>328</v>
      </c>
      <c r="N110" s="17" t="s">
        <v>329</v>
      </c>
      <c r="O110" s="12">
        <v>40883</v>
      </c>
      <c r="P110" s="13"/>
      <c r="Q110" s="13"/>
    </row>
    <row r="111" spans="2:17">
      <c r="B111" s="6" t="s">
        <v>314</v>
      </c>
      <c r="C111" s="7">
        <v>1488977717</v>
      </c>
      <c r="D111" s="7"/>
      <c r="E111" s="25" t="s">
        <v>330</v>
      </c>
      <c r="F111" s="17">
        <v>28220986</v>
      </c>
      <c r="G111" s="8" t="s">
        <v>29</v>
      </c>
      <c r="H111" s="18" t="s">
        <v>30</v>
      </c>
      <c r="I111" s="8">
        <v>1</v>
      </c>
      <c r="J111" s="8" t="s">
        <v>22</v>
      </c>
      <c r="K111" s="8" t="s">
        <v>23</v>
      </c>
      <c r="L111" s="22" t="s">
        <v>32</v>
      </c>
      <c r="M111" s="11" t="s">
        <v>331</v>
      </c>
      <c r="N111" s="11" t="s">
        <v>332</v>
      </c>
      <c r="O111" s="12">
        <v>43035</v>
      </c>
      <c r="P111" s="13"/>
      <c r="Q111" s="13"/>
    </row>
    <row r="112" spans="2:17">
      <c r="B112" s="6" t="s">
        <v>208</v>
      </c>
      <c r="C112" s="39">
        <v>1484901707</v>
      </c>
      <c r="D112" s="39"/>
      <c r="E112" s="40" t="s">
        <v>333</v>
      </c>
      <c r="F112" s="41">
        <v>28503429</v>
      </c>
      <c r="G112" s="40" t="s">
        <v>29</v>
      </c>
      <c r="H112" s="42" t="s">
        <v>30</v>
      </c>
      <c r="I112" s="43">
        <v>1</v>
      </c>
      <c r="J112" s="44" t="s">
        <v>39</v>
      </c>
      <c r="K112" s="44" t="s">
        <v>31</v>
      </c>
      <c r="L112" s="45" t="s">
        <v>40</v>
      </c>
      <c r="M112" s="39" t="s">
        <v>334</v>
      </c>
      <c r="N112" s="39" t="s">
        <v>335</v>
      </c>
      <c r="O112" s="46">
        <v>42991</v>
      </c>
      <c r="P112" s="13"/>
      <c r="Q112" s="13"/>
    </row>
    <row r="113" spans="2:17">
      <c r="B113" s="6" t="s">
        <v>200</v>
      </c>
      <c r="C113" s="51">
        <v>1487923213</v>
      </c>
      <c r="D113" s="51"/>
      <c r="E113" s="52" t="s">
        <v>336</v>
      </c>
      <c r="F113" s="51">
        <v>28220976</v>
      </c>
      <c r="G113" s="44" t="s">
        <v>29</v>
      </c>
      <c r="H113" s="55" t="s">
        <v>30</v>
      </c>
      <c r="I113" s="44">
        <v>1</v>
      </c>
      <c r="J113" s="44" t="s">
        <v>39</v>
      </c>
      <c r="K113" s="44" t="s">
        <v>31</v>
      </c>
      <c r="L113" s="45" t="s">
        <v>40</v>
      </c>
      <c r="M113" s="41" t="s">
        <v>337</v>
      </c>
      <c r="N113" s="41" t="s">
        <v>338</v>
      </c>
      <c r="O113" s="46">
        <v>42797</v>
      </c>
      <c r="P113" s="13"/>
      <c r="Q113" s="13"/>
    </row>
    <row r="114" spans="2:17">
      <c r="B114" s="6" t="s">
        <v>174</v>
      </c>
      <c r="C114" s="7">
        <v>1489917619</v>
      </c>
      <c r="D114" s="7"/>
      <c r="E114" s="25" t="s">
        <v>339</v>
      </c>
      <c r="F114" s="17">
        <v>28503491</v>
      </c>
      <c r="G114" s="8" t="s">
        <v>29</v>
      </c>
      <c r="H114" s="14" t="s">
        <v>30</v>
      </c>
      <c r="I114" s="8">
        <v>1</v>
      </c>
      <c r="J114" s="8" t="s">
        <v>22</v>
      </c>
      <c r="K114" s="8" t="s">
        <v>23</v>
      </c>
      <c r="L114" s="22" t="s">
        <v>32</v>
      </c>
      <c r="M114" s="11" t="s">
        <v>340</v>
      </c>
      <c r="N114" s="11" t="s">
        <v>341</v>
      </c>
      <c r="O114" s="12">
        <v>42923</v>
      </c>
      <c r="P114" s="13"/>
      <c r="Q114" s="13"/>
    </row>
    <row r="115" spans="2:17">
      <c r="B115" s="6" t="s">
        <v>136</v>
      </c>
      <c r="C115" s="7">
        <v>1485827223</v>
      </c>
      <c r="D115" s="7"/>
      <c r="E115" s="25" t="s">
        <v>342</v>
      </c>
      <c r="F115" s="7">
        <v>28220970</v>
      </c>
      <c r="G115" s="8" t="s">
        <v>29</v>
      </c>
      <c r="H115" s="32" t="s">
        <v>30</v>
      </c>
      <c r="I115" s="8">
        <v>1</v>
      </c>
      <c r="J115" s="8" t="s">
        <v>22</v>
      </c>
      <c r="K115" s="8" t="s">
        <v>31</v>
      </c>
      <c r="L115" s="22" t="s">
        <v>32</v>
      </c>
      <c r="M115" s="17" t="s">
        <v>343</v>
      </c>
      <c r="N115" s="17" t="s">
        <v>344</v>
      </c>
      <c r="O115" s="12">
        <v>42620</v>
      </c>
      <c r="P115" s="13"/>
      <c r="Q115" s="13"/>
    </row>
  </sheetData>
  <conditionalFormatting sqref="K14:K115">
    <cfRule type="cellIs" dxfId="18" priority="1" operator="equal">
      <formula>"GPRS"</formula>
    </cfRule>
  </conditionalFormatting>
  <dataValidations count="4">
    <dataValidation type="list" allowBlank="1" showInputMessage="1" showErrorMessage="1" sqref="H14:H115">
      <formula1>"Sonde , Radar , Radar + SVR , Pluviographe , Radar + Pluviographe , Sonde + Pluviographe"</formula1>
    </dataValidation>
    <dataValidation type="list" allowBlank="1" showInputMessage="1" showErrorMessage="1" sqref="I116:J155 J14:J115">
      <formula1>"Transmet , Ne transmet pas"</formula1>
    </dataValidation>
    <dataValidation type="list" allowBlank="1" showInputMessage="1" showErrorMessage="1" sqref="F116:F135 G100:G115 G14:G86">
      <formula1>"Pluviométrique , Hydrométrique , Hydro-pluviométrique"</formula1>
    </dataValidation>
    <dataValidation type="list" allowBlank="1" showInputMessage="1" showErrorMessage="1" sqref="K14:K115">
      <formula1>"GSM Data , GPRS"</formula1>
    </dataValidation>
  </dataValidations>
  <pageMargins left="0" right="0.7" top="0.64583333333333337" bottom="0.75" header="0.3" footer="0.3"/>
  <pageSetup paperSize="9" orientation="landscape" r:id="rId1"/>
  <headerFooter>
    <oddFooter>&amp;CPage&amp;P sur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DISTRIBUTION PAR TYPE</vt:lpstr>
      <vt:lpstr>ETAT de transmission</vt:lpstr>
      <vt:lpstr>ETat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Khemira</dc:creator>
  <cp:lastModifiedBy>Khemira</cp:lastModifiedBy>
  <dcterms:created xsi:type="dcterms:W3CDTF">2026-04-02T15:22:27Z</dcterms:created>
  <dcterms:modified xsi:type="dcterms:W3CDTF">2026-04-03T15:40:04Z</dcterms:modified>
</cp:coreProperties>
</file>